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Calcs" sheetId="3" state="visible" r:id="rId3"/>
    <sheet xmlns:r="http://schemas.openxmlformats.org/officeDocument/2006/relationships" name="Aging pivot" sheetId="4" state="visible" r:id="rId4"/>
  </sheets>
  <definedNames>
    <definedName name="_xlnm._FilterDatabase" localSheetId="1" hidden="1">'Ledger'!$A$1:$R$111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&quot;$&quot;#,##0.0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b val="1"/>
      <color rgb="001B365D"/>
    </font>
    <font>
      <name val="Calibri"/>
      <b val="1"/>
      <color rgb="00F4EFE4"/>
      <sz val="11"/>
    </font>
    <font>
      <b val="1"/>
      <color rgb="001B365D"/>
      <sz val="16"/>
    </font>
    <font>
      <b val="1"/>
    </font>
    <font>
      <b val="1"/>
      <color rgb="001B365D"/>
      <sz val="13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6" fontId="5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0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scheduled vs not scheduled</a:t>
            </a:r>
          </a:p>
        </rich>
      </tx>
    </title>
    <plotArea>
      <pieChart>
        <varyColors val="1"/>
        <ser>
          <idx val="0"/>
          <order val="0"/>
          <tx>
            <strRef>
              <f>'Aging pivot'!B31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 pivot'!$A$32:$A$33</f>
            </numRef>
          </cat>
          <val>
            <numRef>
              <f>'Aging pivot'!$B$32:$B$33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29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Ledger" displayName="ARLedger" ref="A1:R111" headerRowCount="1">
  <autoFilter ref="A1:R111"/>
  <tableColumns count="18">
    <tableColumn id="1" name="Responsible Party Patient ID"/>
    <tableColumn id="2" name="Patient ID"/>
    <tableColumn id="3" name="Most recent visit"/>
    <tableColumn id="4" name="Next appointment"/>
    <tableColumn id="5" name="Total owing"/>
    <tableColumn id="6" name="Patient total owing"/>
    <tableColumn id="7" name="Insurance total owing"/>
    <tableColumn id="8" name="Patient 0–30"/>
    <tableColumn id="9" name="Patient 31–60"/>
    <tableColumn id="10" name="Patient 61–90"/>
    <tableColumn id="11" name="Patient over 90"/>
    <tableColumn id="12" name="Insurance 0–30"/>
    <tableColumn id="13" name="Insurance 31–60"/>
    <tableColumn id="14" name="Insurance 61–90"/>
    <tableColumn id="15" name="Insurance over 90"/>
    <tableColumn id="16" name="Primary bucket"/>
    <tableColumn id="17" name="Has next appointment"/>
    <tableColumn id="18" name="Days since last vis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A/R tracker — 90+ outstanding extract (de-identified)</t>
        </is>
      </c>
    </row>
    <row r="3" ht="28" customHeight="1">
      <c r="A3" s="2" t="inlineStr">
        <is>
          <t>This sample is 90+ only: one row per patient account on a 23 Sep 2026 90+ outstanding extract, not one row per open charge, and not the full open A/R board. Do not compare this file's mix to the case-study story (31.4% to 18.7% of all open A/R). Placeholder IDs only (RP-100x / P-20xx), not PMS IDs. No real names. Most recent visit and next appointment are demo fields; next appointment uses TODAY()+n so dates stay after today. Some responsible parties cover 2-3 patients.</t>
        </is>
      </c>
    </row>
    <row r="4"/>
    <row r="5"/>
    <row r="6"/>
    <row r="7"/>
    <row r="8"/>
    <row r="10">
      <c r="A10" s="3" t="inlineStr">
        <is>
          <t>Snapshot</t>
        </is>
      </c>
      <c r="B10" s="4" t="n">
        <v>46288</v>
      </c>
    </row>
    <row r="11">
      <c r="A11" s="3" t="inlineStr">
        <is>
          <t>Rows (patient accounts)</t>
        </is>
      </c>
      <c r="B11" t="n">
        <v>110</v>
      </c>
    </row>
    <row r="12" ht="32" customHeight="1">
      <c r="A12" s="3" t="inlineStr">
        <is>
          <t>Grain</t>
        </is>
      </c>
      <c r="B12" s="5" t="inlineStr">
        <is>
          <t>One row per patient account on the 90+ extract (not per charge)</t>
        </is>
      </c>
    </row>
    <row r="13">
      <c r="A13" s="3" t="inlineStr">
        <is>
          <t>See</t>
        </is>
      </c>
      <c r="B13" t="inlineStr">
        <is>
          <t>Ledger · Calcs · Aging pivot (tables + pie)</t>
        </is>
      </c>
    </row>
  </sheetData>
  <mergeCells count="2">
    <mergeCell ref="A1:F1"/>
    <mergeCell ref="A3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R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  <col width="14" customWidth="1" min="5" max="5"/>
    <col width="20" customWidth="1" min="6" max="6"/>
    <col width="22" customWidth="1" min="7" max="7"/>
    <col width="14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22" customWidth="1" min="17" max="17"/>
    <col width="20" customWidth="1" min="18" max="18"/>
  </cols>
  <sheetData>
    <row r="1" ht="32" customHeight="1">
      <c r="A1" s="6" t="inlineStr">
        <is>
          <t>Responsible Party Patient ID</t>
        </is>
      </c>
      <c r="B1" s="6" t="inlineStr">
        <is>
          <t>Patient ID</t>
        </is>
      </c>
      <c r="C1" s="6" t="inlineStr">
        <is>
          <t>Most recent visit</t>
        </is>
      </c>
      <c r="D1" s="6" t="inlineStr">
        <is>
          <t>Next appointment</t>
        </is>
      </c>
      <c r="E1" s="6" t="inlineStr">
        <is>
          <t>Total owing</t>
        </is>
      </c>
      <c r="F1" s="6" t="inlineStr">
        <is>
          <t>Patient total owing</t>
        </is>
      </c>
      <c r="G1" s="6" t="inlineStr">
        <is>
          <t>Insurance total owing</t>
        </is>
      </c>
      <c r="H1" s="6" t="inlineStr">
        <is>
          <t>Patient 0–30</t>
        </is>
      </c>
      <c r="I1" s="6" t="inlineStr">
        <is>
          <t>Patient 31–60</t>
        </is>
      </c>
      <c r="J1" s="6" t="inlineStr">
        <is>
          <t>Patient 61–90</t>
        </is>
      </c>
      <c r="K1" s="6" t="inlineStr">
        <is>
          <t>Patient over 90</t>
        </is>
      </c>
      <c r="L1" s="6" t="inlineStr">
        <is>
          <t>Insurance 0–30</t>
        </is>
      </c>
      <c r="M1" s="6" t="inlineStr">
        <is>
          <t>Insurance 31–60</t>
        </is>
      </c>
      <c r="N1" s="6" t="inlineStr">
        <is>
          <t>Insurance 61–90</t>
        </is>
      </c>
      <c r="O1" s="6" t="inlineStr">
        <is>
          <t>Insurance over 90</t>
        </is>
      </c>
      <c r="P1" s="6" t="inlineStr">
        <is>
          <t>Primary bucket</t>
        </is>
      </c>
      <c r="Q1" s="6" t="inlineStr">
        <is>
          <t>Has next appointment</t>
        </is>
      </c>
      <c r="R1" s="6" t="inlineStr">
        <is>
          <t>Days since last visit</t>
        </is>
      </c>
    </row>
    <row r="2">
      <c r="A2" s="7" t="inlineStr">
        <is>
          <t>RP-1001</t>
        </is>
      </c>
      <c r="B2" s="7" t="inlineStr">
        <is>
          <t>P-2001</t>
        </is>
      </c>
      <c r="C2" s="8" t="n">
        <v>46101</v>
      </c>
      <c r="D2" s="8" t="n"/>
      <c r="E2" s="9" t="n">
        <v>6.4</v>
      </c>
      <c r="F2" s="9" t="n">
        <v>6.4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6.4</v>
      </c>
      <c r="L2" s="9" t="n">
        <v>0</v>
      </c>
      <c r="M2" s="9" t="n">
        <v>0</v>
      </c>
      <c r="N2" s="9" t="n">
        <v>0</v>
      </c>
      <c r="O2" s="9" t="n">
        <v>0</v>
      </c>
      <c r="P2" s="7" t="inlineStr">
        <is>
          <t>90+</t>
        </is>
      </c>
      <c r="Q2" s="7" t="inlineStr">
        <is>
          <t>No</t>
        </is>
      </c>
      <c r="R2" s="10">
        <f>DATE(2026,9,23)-C2</f>
        <v/>
      </c>
    </row>
    <row r="3">
      <c r="A3" s="7" t="inlineStr">
        <is>
          <t>RP-1002</t>
        </is>
      </c>
      <c r="B3" s="7" t="inlineStr">
        <is>
          <t>P-2002</t>
        </is>
      </c>
      <c r="C3" s="8" t="n">
        <v>45941</v>
      </c>
      <c r="D3" s="8">
        <f>TODAY()+54</f>
        <v/>
      </c>
      <c r="E3" s="9" t="n">
        <v>53.4</v>
      </c>
      <c r="F3" s="9" t="n">
        <v>53.4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53.4</v>
      </c>
      <c r="L3" s="9" t="n">
        <v>0</v>
      </c>
      <c r="M3" s="9" t="n">
        <v>0</v>
      </c>
      <c r="N3" s="9" t="n">
        <v>0</v>
      </c>
      <c r="O3" s="9" t="n">
        <v>0</v>
      </c>
      <c r="P3" s="7" t="inlineStr">
        <is>
          <t>90+</t>
        </is>
      </c>
      <c r="Q3" s="7" t="inlineStr">
        <is>
          <t>Yes</t>
        </is>
      </c>
      <c r="R3" s="10">
        <f>DATE(2026,9,23)-C3</f>
        <v/>
      </c>
    </row>
    <row r="4">
      <c r="A4" s="7" t="inlineStr">
        <is>
          <t>RP-1003</t>
        </is>
      </c>
      <c r="B4" s="7" t="inlineStr">
        <is>
          <t>P-2003</t>
        </is>
      </c>
      <c r="C4" s="8" t="n">
        <v>46131</v>
      </c>
      <c r="D4" s="8" t="n"/>
      <c r="E4" s="9" t="n">
        <v>36</v>
      </c>
      <c r="F4" s="9" t="n">
        <v>36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36</v>
      </c>
      <c r="L4" s="9" t="n">
        <v>0</v>
      </c>
      <c r="M4" s="9" t="n">
        <v>0</v>
      </c>
      <c r="N4" s="9" t="n">
        <v>0</v>
      </c>
      <c r="O4" s="9" t="n">
        <v>0</v>
      </c>
      <c r="P4" s="7" t="inlineStr">
        <is>
          <t>90+</t>
        </is>
      </c>
      <c r="Q4" s="7" t="inlineStr">
        <is>
          <t>No</t>
        </is>
      </c>
      <c r="R4" s="10">
        <f>DATE(2026,9,23)-C4</f>
        <v/>
      </c>
    </row>
    <row r="5">
      <c r="A5" s="7" t="inlineStr">
        <is>
          <t>RP-1003</t>
        </is>
      </c>
      <c r="B5" s="7" t="inlineStr">
        <is>
          <t>P-2004</t>
        </is>
      </c>
      <c r="C5" s="8" t="n">
        <v>46020</v>
      </c>
      <c r="D5" s="8" t="n"/>
      <c r="E5" s="9" t="n">
        <v>18.3</v>
      </c>
      <c r="F5" s="9" t="n">
        <v>18.3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18.3</v>
      </c>
      <c r="L5" s="9" t="n">
        <v>0</v>
      </c>
      <c r="M5" s="9" t="n">
        <v>0</v>
      </c>
      <c r="N5" s="9" t="n">
        <v>0</v>
      </c>
      <c r="O5" s="9" t="n">
        <v>0</v>
      </c>
      <c r="P5" s="7" t="inlineStr">
        <is>
          <t>90+</t>
        </is>
      </c>
      <c r="Q5" s="7" t="inlineStr">
        <is>
          <t>No</t>
        </is>
      </c>
      <c r="R5" s="10">
        <f>DATE(2026,9,23)-C5</f>
        <v/>
      </c>
    </row>
    <row r="6">
      <c r="A6" s="7" t="inlineStr">
        <is>
          <t>RP-1003</t>
        </is>
      </c>
      <c r="B6" s="7" t="inlineStr">
        <is>
          <t>P-2005</t>
        </is>
      </c>
      <c r="C6" s="8" t="n">
        <v>45890</v>
      </c>
      <c r="D6" s="8" t="n"/>
      <c r="E6" s="9" t="n">
        <v>95</v>
      </c>
      <c r="F6" s="9" t="n">
        <v>95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95</v>
      </c>
      <c r="L6" s="9" t="n">
        <v>0</v>
      </c>
      <c r="M6" s="9" t="n">
        <v>0</v>
      </c>
      <c r="N6" s="9" t="n">
        <v>0</v>
      </c>
      <c r="O6" s="9" t="n">
        <v>0</v>
      </c>
      <c r="P6" s="7" t="inlineStr">
        <is>
          <t>90+</t>
        </is>
      </c>
      <c r="Q6" s="7" t="inlineStr">
        <is>
          <t>No</t>
        </is>
      </c>
      <c r="R6" s="10">
        <f>DATE(2026,9,23)-C6</f>
        <v/>
      </c>
    </row>
    <row r="7">
      <c r="A7" s="7" t="inlineStr">
        <is>
          <t>RP-1004</t>
        </is>
      </c>
      <c r="B7" s="7" t="inlineStr">
        <is>
          <t>P-2006</t>
        </is>
      </c>
      <c r="C7" s="8" t="n">
        <v>45937</v>
      </c>
      <c r="D7" s="8" t="n"/>
      <c r="E7" s="9" t="n">
        <v>30</v>
      </c>
      <c r="F7" s="9" t="n">
        <v>30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30</v>
      </c>
      <c r="L7" s="9" t="n">
        <v>0</v>
      </c>
      <c r="M7" s="9" t="n">
        <v>0</v>
      </c>
      <c r="N7" s="9" t="n">
        <v>0</v>
      </c>
      <c r="O7" s="9" t="n">
        <v>0</v>
      </c>
      <c r="P7" s="7" t="inlineStr">
        <is>
          <t>90+</t>
        </is>
      </c>
      <c r="Q7" s="7" t="inlineStr">
        <is>
          <t>No</t>
        </is>
      </c>
      <c r="R7" s="10">
        <f>DATE(2026,9,23)-C7</f>
        <v/>
      </c>
    </row>
    <row r="8">
      <c r="A8" s="7" t="inlineStr">
        <is>
          <t>RP-1005</t>
        </is>
      </c>
      <c r="B8" s="7" t="inlineStr">
        <is>
          <t>P-2007</t>
        </is>
      </c>
      <c r="C8" s="8" t="n">
        <v>45961</v>
      </c>
      <c r="D8" s="8">
        <f>TODAY()+29</f>
        <v/>
      </c>
      <c r="E8" s="9" t="n">
        <v>95</v>
      </c>
      <c r="F8" s="9" t="n">
        <v>95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95</v>
      </c>
      <c r="L8" s="9" t="n">
        <v>0</v>
      </c>
      <c r="M8" s="9" t="n">
        <v>0</v>
      </c>
      <c r="N8" s="9" t="n">
        <v>0</v>
      </c>
      <c r="O8" s="9" t="n">
        <v>0</v>
      </c>
      <c r="P8" s="7" t="inlineStr">
        <is>
          <t>90+</t>
        </is>
      </c>
      <c r="Q8" s="7" t="inlineStr">
        <is>
          <t>Yes</t>
        </is>
      </c>
      <c r="R8" s="10">
        <f>DATE(2026,9,23)-C8</f>
        <v/>
      </c>
    </row>
    <row r="9">
      <c r="A9" s="7" t="inlineStr">
        <is>
          <t>RP-1006</t>
        </is>
      </c>
      <c r="B9" s="7" t="inlineStr">
        <is>
          <t>P-2008</t>
        </is>
      </c>
      <c r="C9" s="8" t="n">
        <v>46021</v>
      </c>
      <c r="D9" s="8" t="n"/>
      <c r="E9" s="9" t="n">
        <v>42.5</v>
      </c>
      <c r="F9" s="9" t="n">
        <v>42.5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42.5</v>
      </c>
      <c r="L9" s="9" t="n">
        <v>0</v>
      </c>
      <c r="M9" s="9" t="n">
        <v>0</v>
      </c>
      <c r="N9" s="9" t="n">
        <v>0</v>
      </c>
      <c r="O9" s="9" t="n">
        <v>0</v>
      </c>
      <c r="P9" s="7" t="inlineStr">
        <is>
          <t>90+</t>
        </is>
      </c>
      <c r="Q9" s="7" t="inlineStr">
        <is>
          <t>No</t>
        </is>
      </c>
      <c r="R9" s="10">
        <f>DATE(2026,9,23)-C9</f>
        <v/>
      </c>
    </row>
    <row r="10">
      <c r="A10" s="7" t="inlineStr">
        <is>
          <t>RP-1006</t>
        </is>
      </c>
      <c r="B10" s="7" t="inlineStr">
        <is>
          <t>P-2009</t>
        </is>
      </c>
      <c r="C10" s="8" t="n">
        <v>45978</v>
      </c>
      <c r="D10" s="8" t="n"/>
      <c r="E10" s="9" t="n">
        <v>11</v>
      </c>
      <c r="F10" s="9" t="n">
        <v>11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11</v>
      </c>
      <c r="L10" s="9" t="n">
        <v>0</v>
      </c>
      <c r="M10" s="9" t="n">
        <v>0</v>
      </c>
      <c r="N10" s="9" t="n">
        <v>0</v>
      </c>
      <c r="O10" s="9" t="n">
        <v>0</v>
      </c>
      <c r="P10" s="7" t="inlineStr">
        <is>
          <t>90+</t>
        </is>
      </c>
      <c r="Q10" s="7" t="inlineStr">
        <is>
          <t>No</t>
        </is>
      </c>
      <c r="R10" s="10">
        <f>DATE(2026,9,23)-C10</f>
        <v/>
      </c>
    </row>
    <row r="11">
      <c r="A11" s="7" t="inlineStr">
        <is>
          <t>RP-1007</t>
        </is>
      </c>
      <c r="B11" s="7" t="inlineStr">
        <is>
          <t>P-2010</t>
        </is>
      </c>
      <c r="C11" s="8" t="n">
        <v>46097</v>
      </c>
      <c r="D11" s="8" t="n"/>
      <c r="E11" s="9" t="n">
        <v>303</v>
      </c>
      <c r="F11" s="9" t="n">
        <v>303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303</v>
      </c>
      <c r="L11" s="9" t="n">
        <v>0</v>
      </c>
      <c r="M11" s="9" t="n">
        <v>0</v>
      </c>
      <c r="N11" s="9" t="n">
        <v>0</v>
      </c>
      <c r="O11" s="9" t="n">
        <v>0</v>
      </c>
      <c r="P11" s="7" t="inlineStr">
        <is>
          <t>90+</t>
        </is>
      </c>
      <c r="Q11" s="7" t="inlineStr">
        <is>
          <t>No</t>
        </is>
      </c>
      <c r="R11" s="10">
        <f>DATE(2026,9,23)-C11</f>
        <v/>
      </c>
    </row>
    <row r="12">
      <c r="A12" s="7" t="inlineStr">
        <is>
          <t>RP-1004</t>
        </is>
      </c>
      <c r="B12" s="7" t="inlineStr">
        <is>
          <t>P-2006</t>
        </is>
      </c>
      <c r="C12" s="8" t="n">
        <v>45937</v>
      </c>
      <c r="D12" s="8" t="n"/>
      <c r="E12" s="9" t="n">
        <v>24</v>
      </c>
      <c r="F12" s="9" t="n">
        <v>24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24</v>
      </c>
      <c r="L12" s="9" t="n">
        <v>0</v>
      </c>
      <c r="M12" s="9" t="n">
        <v>0</v>
      </c>
      <c r="N12" s="9" t="n">
        <v>0</v>
      </c>
      <c r="O12" s="9" t="n">
        <v>0</v>
      </c>
      <c r="P12" s="7" t="inlineStr">
        <is>
          <t>90+</t>
        </is>
      </c>
      <c r="Q12" s="7" t="inlineStr">
        <is>
          <t>No</t>
        </is>
      </c>
      <c r="R12" s="10">
        <f>DATE(2026,9,23)-C12</f>
        <v/>
      </c>
    </row>
    <row r="13">
      <c r="A13" s="7" t="inlineStr">
        <is>
          <t>RP-1007</t>
        </is>
      </c>
      <c r="B13" s="7" t="inlineStr">
        <is>
          <t>P-2011</t>
        </is>
      </c>
      <c r="C13" s="8" t="n">
        <v>46122</v>
      </c>
      <c r="D13" s="8" t="n"/>
      <c r="E13" s="9" t="n">
        <v>137.5</v>
      </c>
      <c r="F13" s="9" t="n">
        <v>137.5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137.5</v>
      </c>
      <c r="L13" s="9" t="n">
        <v>0</v>
      </c>
      <c r="M13" s="9" t="n">
        <v>0</v>
      </c>
      <c r="N13" s="9" t="n">
        <v>0</v>
      </c>
      <c r="O13" s="9" t="n">
        <v>0</v>
      </c>
      <c r="P13" s="7" t="inlineStr">
        <is>
          <t>90+</t>
        </is>
      </c>
      <c r="Q13" s="7" t="inlineStr">
        <is>
          <t>No</t>
        </is>
      </c>
      <c r="R13" s="10">
        <f>DATE(2026,9,23)-C13</f>
        <v/>
      </c>
    </row>
    <row r="14">
      <c r="A14" s="7" t="inlineStr">
        <is>
          <t>RP-1008</t>
        </is>
      </c>
      <c r="B14" s="7" t="inlineStr">
        <is>
          <t>P-2012</t>
        </is>
      </c>
      <c r="C14" s="8" t="n">
        <v>45917</v>
      </c>
      <c r="D14" s="8" t="n"/>
      <c r="E14" s="9" t="n">
        <v>40</v>
      </c>
      <c r="F14" s="9" t="n">
        <v>40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40</v>
      </c>
      <c r="L14" s="9" t="n">
        <v>0</v>
      </c>
      <c r="M14" s="9" t="n">
        <v>0</v>
      </c>
      <c r="N14" s="9" t="n">
        <v>0</v>
      </c>
      <c r="O14" s="9" t="n">
        <v>0</v>
      </c>
      <c r="P14" s="7" t="inlineStr">
        <is>
          <t>90+</t>
        </is>
      </c>
      <c r="Q14" s="7" t="inlineStr">
        <is>
          <t>No</t>
        </is>
      </c>
      <c r="R14" s="10">
        <f>DATE(2026,9,23)-C14</f>
        <v/>
      </c>
    </row>
    <row r="15">
      <c r="A15" s="7" t="inlineStr">
        <is>
          <t>RP-1003</t>
        </is>
      </c>
      <c r="B15" s="7" t="inlineStr">
        <is>
          <t>P-2003</t>
        </is>
      </c>
      <c r="C15" s="8" t="n">
        <v>46131</v>
      </c>
      <c r="D15" s="8" t="n"/>
      <c r="E15" s="9" t="n">
        <v>15</v>
      </c>
      <c r="F15" s="9" t="n">
        <v>15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15</v>
      </c>
      <c r="L15" s="9" t="n">
        <v>0</v>
      </c>
      <c r="M15" s="9" t="n">
        <v>0</v>
      </c>
      <c r="N15" s="9" t="n">
        <v>0</v>
      </c>
      <c r="O15" s="9" t="n">
        <v>0</v>
      </c>
      <c r="P15" s="7" t="inlineStr">
        <is>
          <t>90+</t>
        </is>
      </c>
      <c r="Q15" s="7" t="inlineStr">
        <is>
          <t>No</t>
        </is>
      </c>
      <c r="R15" s="10">
        <f>DATE(2026,9,23)-C15</f>
        <v/>
      </c>
    </row>
    <row r="16">
      <c r="A16" s="7" t="inlineStr">
        <is>
          <t>RP-1009</t>
        </is>
      </c>
      <c r="B16" s="7" t="inlineStr">
        <is>
          <t>P-2013</t>
        </is>
      </c>
      <c r="C16" s="8" t="n">
        <v>46152</v>
      </c>
      <c r="D16" s="8" t="n"/>
      <c r="E16" s="9" t="n">
        <v>39.6</v>
      </c>
      <c r="F16" s="9" t="n">
        <v>39.6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39.6</v>
      </c>
      <c r="L16" s="9" t="n">
        <v>0</v>
      </c>
      <c r="M16" s="9" t="n">
        <v>0</v>
      </c>
      <c r="N16" s="9" t="n">
        <v>0</v>
      </c>
      <c r="O16" s="9" t="n">
        <v>0</v>
      </c>
      <c r="P16" s="7" t="inlineStr">
        <is>
          <t>90+</t>
        </is>
      </c>
      <c r="Q16" s="7" t="inlineStr">
        <is>
          <t>No</t>
        </is>
      </c>
      <c r="R16" s="10">
        <f>DATE(2026,9,23)-C16</f>
        <v/>
      </c>
    </row>
    <row r="17">
      <c r="A17" s="7" t="inlineStr">
        <is>
          <t>RP-1009</t>
        </is>
      </c>
      <c r="B17" s="7" t="inlineStr">
        <is>
          <t>P-2014</t>
        </is>
      </c>
      <c r="C17" s="8" t="n">
        <v>45950</v>
      </c>
      <c r="D17" s="8" t="n"/>
      <c r="E17" s="9" t="n">
        <v>61</v>
      </c>
      <c r="F17" s="9" t="n">
        <v>61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61</v>
      </c>
      <c r="L17" s="9" t="n">
        <v>0</v>
      </c>
      <c r="M17" s="9" t="n">
        <v>0</v>
      </c>
      <c r="N17" s="9" t="n">
        <v>0</v>
      </c>
      <c r="O17" s="9" t="n">
        <v>0</v>
      </c>
      <c r="P17" s="7" t="inlineStr">
        <is>
          <t>90+</t>
        </is>
      </c>
      <c r="Q17" s="7" t="inlineStr">
        <is>
          <t>No</t>
        </is>
      </c>
      <c r="R17" s="10">
        <f>DATE(2026,9,23)-C17</f>
        <v/>
      </c>
    </row>
    <row r="18">
      <c r="A18" s="7" t="inlineStr">
        <is>
          <t>RP-1009</t>
        </is>
      </c>
      <c r="B18" s="7" t="inlineStr">
        <is>
          <t>P-2015</t>
        </is>
      </c>
      <c r="C18" s="8" t="n">
        <v>46022</v>
      </c>
      <c r="D18" s="8">
        <f>TODAY()+29</f>
        <v/>
      </c>
      <c r="E18" s="9" t="n">
        <v>40.05</v>
      </c>
      <c r="F18" s="9" t="n">
        <v>40.05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40.05</v>
      </c>
      <c r="L18" s="9" t="n">
        <v>0</v>
      </c>
      <c r="M18" s="9" t="n">
        <v>0</v>
      </c>
      <c r="N18" s="9" t="n">
        <v>0</v>
      </c>
      <c r="O18" s="9" t="n">
        <v>0</v>
      </c>
      <c r="P18" s="7" t="inlineStr">
        <is>
          <t>90+</t>
        </is>
      </c>
      <c r="Q18" s="7" t="inlineStr">
        <is>
          <t>Yes</t>
        </is>
      </c>
      <c r="R18" s="10">
        <f>DATE(2026,9,23)-C18</f>
        <v/>
      </c>
    </row>
    <row r="19">
      <c r="A19" s="7" t="inlineStr">
        <is>
          <t>RP-1010</t>
        </is>
      </c>
      <c r="B19" s="7" t="inlineStr">
        <is>
          <t>P-2016</t>
        </is>
      </c>
      <c r="C19" s="8" t="n">
        <v>45984</v>
      </c>
      <c r="D19" s="8" t="n"/>
      <c r="E19" s="9" t="n">
        <v>83.2</v>
      </c>
      <c r="F19" s="9" t="n">
        <v>83.2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83.2</v>
      </c>
      <c r="L19" s="9" t="n">
        <v>0</v>
      </c>
      <c r="M19" s="9" t="n">
        <v>0</v>
      </c>
      <c r="N19" s="9" t="n">
        <v>0</v>
      </c>
      <c r="O19" s="9" t="n">
        <v>0</v>
      </c>
      <c r="P19" s="7" t="inlineStr">
        <is>
          <t>90+</t>
        </is>
      </c>
      <c r="Q19" s="7" t="inlineStr">
        <is>
          <t>No</t>
        </is>
      </c>
      <c r="R19" s="10">
        <f>DATE(2026,9,23)-C19</f>
        <v/>
      </c>
    </row>
    <row r="20">
      <c r="A20" s="7" t="inlineStr">
        <is>
          <t>RP-1010</t>
        </is>
      </c>
      <c r="B20" s="7" t="inlineStr">
        <is>
          <t>P-2017</t>
        </is>
      </c>
      <c r="C20" s="8" t="n">
        <v>45942</v>
      </c>
      <c r="D20" s="8">
        <f>TODAY()+23</f>
        <v/>
      </c>
      <c r="E20" s="9" t="n">
        <v>30</v>
      </c>
      <c r="F20" s="9" t="n">
        <v>30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30</v>
      </c>
      <c r="L20" s="9" t="n">
        <v>0</v>
      </c>
      <c r="M20" s="9" t="n">
        <v>0</v>
      </c>
      <c r="N20" s="9" t="n">
        <v>0</v>
      </c>
      <c r="O20" s="9" t="n">
        <v>0</v>
      </c>
      <c r="P20" s="7" t="inlineStr">
        <is>
          <t>90+</t>
        </is>
      </c>
      <c r="Q20" s="7" t="inlineStr">
        <is>
          <t>Yes</t>
        </is>
      </c>
      <c r="R20" s="10">
        <f>DATE(2026,9,23)-C20</f>
        <v/>
      </c>
    </row>
    <row r="21">
      <c r="A21" s="7" t="inlineStr">
        <is>
          <t>RP-1005</t>
        </is>
      </c>
      <c r="B21" s="7" t="inlineStr">
        <is>
          <t>P-2007</t>
        </is>
      </c>
      <c r="C21" s="8" t="n">
        <v>45961</v>
      </c>
      <c r="D21" s="8">
        <f>TODAY()+29</f>
        <v/>
      </c>
      <c r="E21" s="9" t="n">
        <v>195</v>
      </c>
      <c r="F21" s="9" t="n">
        <v>195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195</v>
      </c>
      <c r="L21" s="9" t="n">
        <v>0</v>
      </c>
      <c r="M21" s="9" t="n">
        <v>0</v>
      </c>
      <c r="N21" s="9" t="n">
        <v>0</v>
      </c>
      <c r="O21" s="9" t="n">
        <v>0</v>
      </c>
      <c r="P21" s="7" t="inlineStr">
        <is>
          <t>90+</t>
        </is>
      </c>
      <c r="Q21" s="7" t="inlineStr">
        <is>
          <t>Yes</t>
        </is>
      </c>
      <c r="R21" s="10">
        <f>DATE(2026,9,23)-C21</f>
        <v/>
      </c>
    </row>
    <row r="22">
      <c r="A22" s="7" t="inlineStr">
        <is>
          <t>RP-1011</t>
        </is>
      </c>
      <c r="B22" s="7" t="inlineStr">
        <is>
          <t>P-2018</t>
        </is>
      </c>
      <c r="C22" s="8" t="n">
        <v>46036</v>
      </c>
      <c r="D22" s="8">
        <f>TODAY()+20</f>
        <v/>
      </c>
      <c r="E22" s="9" t="n">
        <v>37</v>
      </c>
      <c r="F22" s="9" t="n">
        <v>37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37</v>
      </c>
      <c r="L22" s="9" t="n">
        <v>0</v>
      </c>
      <c r="M22" s="9" t="n">
        <v>0</v>
      </c>
      <c r="N22" s="9" t="n">
        <v>0</v>
      </c>
      <c r="O22" s="9" t="n">
        <v>0</v>
      </c>
      <c r="P22" s="7" t="inlineStr">
        <is>
          <t>90+</t>
        </is>
      </c>
      <c r="Q22" s="7" t="inlineStr">
        <is>
          <t>Yes</t>
        </is>
      </c>
      <c r="R22" s="10">
        <f>DATE(2026,9,23)-C22</f>
        <v/>
      </c>
    </row>
    <row r="23">
      <c r="A23" s="7" t="inlineStr">
        <is>
          <t>RP-1012</t>
        </is>
      </c>
      <c r="B23" s="7" t="inlineStr">
        <is>
          <t>P-2019</t>
        </is>
      </c>
      <c r="C23" s="8" t="n">
        <v>46181</v>
      </c>
      <c r="D23" s="8">
        <f>TODAY()+59</f>
        <v/>
      </c>
      <c r="E23" s="9" t="n">
        <v>4</v>
      </c>
      <c r="F23" s="9" t="n">
        <v>4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4</v>
      </c>
      <c r="L23" s="9" t="n">
        <v>0</v>
      </c>
      <c r="M23" s="9" t="n">
        <v>0</v>
      </c>
      <c r="N23" s="9" t="n">
        <v>0</v>
      </c>
      <c r="O23" s="9" t="n">
        <v>0</v>
      </c>
      <c r="P23" s="7" t="inlineStr">
        <is>
          <t>90+</t>
        </is>
      </c>
      <c r="Q23" s="7" t="inlineStr">
        <is>
          <t>Yes</t>
        </is>
      </c>
      <c r="R23" s="10">
        <f>DATE(2026,9,23)-C23</f>
        <v/>
      </c>
    </row>
    <row r="24">
      <c r="A24" s="7" t="inlineStr">
        <is>
          <t>RP-1012</t>
        </is>
      </c>
      <c r="B24" s="7" t="inlineStr">
        <is>
          <t>P-2020</t>
        </is>
      </c>
      <c r="C24" s="8" t="n">
        <v>46008</v>
      </c>
      <c r="D24" s="8" t="n"/>
      <c r="E24" s="9" t="n">
        <v>109</v>
      </c>
      <c r="F24" s="9" t="n">
        <v>109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109</v>
      </c>
      <c r="L24" s="9" t="n">
        <v>0</v>
      </c>
      <c r="M24" s="9" t="n">
        <v>0</v>
      </c>
      <c r="N24" s="9" t="n">
        <v>0</v>
      </c>
      <c r="O24" s="9" t="n">
        <v>0</v>
      </c>
      <c r="P24" s="7" t="inlineStr">
        <is>
          <t>90+</t>
        </is>
      </c>
      <c r="Q24" s="7" t="inlineStr">
        <is>
          <t>No</t>
        </is>
      </c>
      <c r="R24" s="10">
        <f>DATE(2026,9,23)-C24</f>
        <v/>
      </c>
    </row>
    <row r="25">
      <c r="A25" s="7" t="inlineStr">
        <is>
          <t>RP-1012</t>
        </is>
      </c>
      <c r="B25" s="7" t="inlineStr">
        <is>
          <t>P-2021</t>
        </is>
      </c>
      <c r="C25" s="8" t="n">
        <v>46158</v>
      </c>
      <c r="D25" s="8" t="n"/>
      <c r="E25" s="9" t="n">
        <v>159.7</v>
      </c>
      <c r="F25" s="9" t="n">
        <v>159.7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159.7</v>
      </c>
      <c r="L25" s="9" t="n">
        <v>0</v>
      </c>
      <c r="M25" s="9" t="n">
        <v>0</v>
      </c>
      <c r="N25" s="9" t="n">
        <v>0</v>
      </c>
      <c r="O25" s="9" t="n">
        <v>0</v>
      </c>
      <c r="P25" s="7" t="inlineStr">
        <is>
          <t>90+</t>
        </is>
      </c>
      <c r="Q25" s="7" t="inlineStr">
        <is>
          <t>No</t>
        </is>
      </c>
      <c r="R25" s="10">
        <f>DATE(2026,9,23)-C25</f>
        <v/>
      </c>
    </row>
    <row r="26">
      <c r="A26" s="7" t="inlineStr">
        <is>
          <t>RP-1008</t>
        </is>
      </c>
      <c r="B26" s="7" t="inlineStr">
        <is>
          <t>P-2012</t>
        </is>
      </c>
      <c r="C26" s="8" t="n">
        <v>45917</v>
      </c>
      <c r="D26" s="8" t="n"/>
      <c r="E26" s="9" t="n">
        <v>59.6</v>
      </c>
      <c r="F26" s="9" t="n">
        <v>59.6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59.6</v>
      </c>
      <c r="L26" s="9" t="n">
        <v>0</v>
      </c>
      <c r="M26" s="9" t="n">
        <v>0</v>
      </c>
      <c r="N26" s="9" t="n">
        <v>0</v>
      </c>
      <c r="O26" s="9" t="n">
        <v>0</v>
      </c>
      <c r="P26" s="7" t="inlineStr">
        <is>
          <t>90+</t>
        </is>
      </c>
      <c r="Q26" s="7" t="inlineStr">
        <is>
          <t>No</t>
        </is>
      </c>
      <c r="R26" s="10">
        <f>DATE(2026,9,23)-C26</f>
        <v/>
      </c>
    </row>
    <row r="27">
      <c r="A27" s="7" t="inlineStr">
        <is>
          <t>RP-1013</t>
        </is>
      </c>
      <c r="B27" s="7" t="inlineStr">
        <is>
          <t>P-2022</t>
        </is>
      </c>
      <c r="C27" s="8" t="n">
        <v>45961</v>
      </c>
      <c r="D27" s="8" t="n"/>
      <c r="E27" s="9" t="n">
        <v>53.4</v>
      </c>
      <c r="F27" s="9" t="n">
        <v>53.4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53.4</v>
      </c>
      <c r="L27" s="9" t="n">
        <v>0</v>
      </c>
      <c r="M27" s="9" t="n">
        <v>0</v>
      </c>
      <c r="N27" s="9" t="n">
        <v>0</v>
      </c>
      <c r="O27" s="9" t="n">
        <v>0</v>
      </c>
      <c r="P27" s="7" t="inlineStr">
        <is>
          <t>90+</t>
        </is>
      </c>
      <c r="Q27" s="7" t="inlineStr">
        <is>
          <t>No</t>
        </is>
      </c>
      <c r="R27" s="10">
        <f>DATE(2026,9,23)-C27</f>
        <v/>
      </c>
    </row>
    <row r="28">
      <c r="A28" s="7" t="inlineStr">
        <is>
          <t>RP-1014</t>
        </is>
      </c>
      <c r="B28" s="7" t="inlineStr">
        <is>
          <t>P-2023</t>
        </is>
      </c>
      <c r="C28" s="8" t="n">
        <v>46047</v>
      </c>
      <c r="D28" s="8">
        <f>TODAY()+41</f>
        <v/>
      </c>
      <c r="E28" s="9" t="n">
        <v>14</v>
      </c>
      <c r="F28" s="9" t="n">
        <v>14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14</v>
      </c>
      <c r="L28" s="9" t="n">
        <v>0</v>
      </c>
      <c r="M28" s="9" t="n">
        <v>0</v>
      </c>
      <c r="N28" s="9" t="n">
        <v>0</v>
      </c>
      <c r="O28" s="9" t="n">
        <v>0</v>
      </c>
      <c r="P28" s="7" t="inlineStr">
        <is>
          <t>90+</t>
        </is>
      </c>
      <c r="Q28" s="7" t="inlineStr">
        <is>
          <t>Yes</t>
        </is>
      </c>
      <c r="R28" s="10">
        <f>DATE(2026,9,23)-C28</f>
        <v/>
      </c>
    </row>
    <row r="29">
      <c r="A29" s="7" t="inlineStr">
        <is>
          <t>RP-1015</t>
        </is>
      </c>
      <c r="B29" s="7" t="inlineStr">
        <is>
          <t>P-2024</t>
        </is>
      </c>
      <c r="C29" s="8" t="n">
        <v>46079</v>
      </c>
      <c r="D29" s="8">
        <f>TODAY()+10</f>
        <v/>
      </c>
      <c r="E29" s="9" t="n">
        <v>1431.34</v>
      </c>
      <c r="F29" s="9" t="n">
        <v>1431.34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1431.34</v>
      </c>
      <c r="L29" s="9" t="n">
        <v>0</v>
      </c>
      <c r="M29" s="9" t="n">
        <v>0</v>
      </c>
      <c r="N29" s="9" t="n">
        <v>0</v>
      </c>
      <c r="O29" s="9" t="n">
        <v>0</v>
      </c>
      <c r="P29" s="7" t="inlineStr">
        <is>
          <t>90+</t>
        </is>
      </c>
      <c r="Q29" s="7" t="inlineStr">
        <is>
          <t>Yes</t>
        </is>
      </c>
      <c r="R29" s="10">
        <f>DATE(2026,9,23)-C29</f>
        <v/>
      </c>
    </row>
    <row r="30">
      <c r="A30" s="7" t="inlineStr">
        <is>
          <t>RP-1009</t>
        </is>
      </c>
      <c r="B30" s="7" t="inlineStr">
        <is>
          <t>P-2013</t>
        </is>
      </c>
      <c r="C30" s="8" t="n">
        <v>46152</v>
      </c>
      <c r="D30" s="8" t="n"/>
      <c r="E30" s="9" t="n">
        <v>109.6</v>
      </c>
      <c r="F30" s="9" t="n">
        <v>109.6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109.6</v>
      </c>
      <c r="L30" s="9" t="n">
        <v>0</v>
      </c>
      <c r="M30" s="9" t="n">
        <v>0</v>
      </c>
      <c r="N30" s="9" t="n">
        <v>0</v>
      </c>
      <c r="O30" s="9" t="n">
        <v>0</v>
      </c>
      <c r="P30" s="7" t="inlineStr">
        <is>
          <t>90+</t>
        </is>
      </c>
      <c r="Q30" s="7" t="inlineStr">
        <is>
          <t>No</t>
        </is>
      </c>
      <c r="R30" s="10">
        <f>DATE(2026,9,23)-C30</f>
        <v/>
      </c>
    </row>
    <row r="31">
      <c r="A31" s="7" t="inlineStr">
        <is>
          <t>RP-1015</t>
        </is>
      </c>
      <c r="B31" s="7" t="inlineStr">
        <is>
          <t>P-2025</t>
        </is>
      </c>
      <c r="C31" s="8" t="n">
        <v>45945</v>
      </c>
      <c r="D31" s="8" t="n"/>
      <c r="E31" s="9" t="n">
        <v>30</v>
      </c>
      <c r="F31" s="9" t="n">
        <v>30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30</v>
      </c>
      <c r="L31" s="9" t="n">
        <v>0</v>
      </c>
      <c r="M31" s="9" t="n">
        <v>0</v>
      </c>
      <c r="N31" s="9" t="n">
        <v>0</v>
      </c>
      <c r="O31" s="9" t="n">
        <v>0</v>
      </c>
      <c r="P31" s="7" t="inlineStr">
        <is>
          <t>90+</t>
        </is>
      </c>
      <c r="Q31" s="7" t="inlineStr">
        <is>
          <t>No</t>
        </is>
      </c>
      <c r="R31" s="10">
        <f>DATE(2026,9,23)-C31</f>
        <v/>
      </c>
    </row>
    <row r="32">
      <c r="A32" s="7" t="inlineStr">
        <is>
          <t>RP-1016</t>
        </is>
      </c>
      <c r="B32" s="7" t="inlineStr">
        <is>
          <t>P-2026</t>
        </is>
      </c>
      <c r="C32" s="8" t="n">
        <v>46065</v>
      </c>
      <c r="D32" s="8">
        <f>TODAY()+24</f>
        <v/>
      </c>
      <c r="E32" s="9" t="n">
        <v>2</v>
      </c>
      <c r="F32" s="9" t="n">
        <v>2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2</v>
      </c>
      <c r="L32" s="9" t="n">
        <v>0</v>
      </c>
      <c r="M32" s="9" t="n">
        <v>0</v>
      </c>
      <c r="N32" s="9" t="n">
        <v>0</v>
      </c>
      <c r="O32" s="9" t="n">
        <v>0</v>
      </c>
      <c r="P32" s="7" t="inlineStr">
        <is>
          <t>90+</t>
        </is>
      </c>
      <c r="Q32" s="7" t="inlineStr">
        <is>
          <t>Yes</t>
        </is>
      </c>
      <c r="R32" s="10">
        <f>DATE(2026,9,23)-C32</f>
        <v/>
      </c>
    </row>
    <row r="33">
      <c r="A33" s="7" t="inlineStr">
        <is>
          <t>RP-1017</t>
        </is>
      </c>
      <c r="B33" s="7" t="inlineStr">
        <is>
          <t>P-2027</t>
        </is>
      </c>
      <c r="C33" s="8" t="n">
        <v>46170</v>
      </c>
      <c r="D33" s="8" t="n"/>
      <c r="E33" s="9" t="n">
        <v>23</v>
      </c>
      <c r="F33" s="9" t="n">
        <v>23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23</v>
      </c>
      <c r="L33" s="9" t="n">
        <v>0</v>
      </c>
      <c r="M33" s="9" t="n">
        <v>0</v>
      </c>
      <c r="N33" s="9" t="n">
        <v>0</v>
      </c>
      <c r="O33" s="9" t="n">
        <v>0</v>
      </c>
      <c r="P33" s="7" t="inlineStr">
        <is>
          <t>90+</t>
        </is>
      </c>
      <c r="Q33" s="7" t="inlineStr">
        <is>
          <t>No</t>
        </is>
      </c>
      <c r="R33" s="10">
        <f>DATE(2026,9,23)-C33</f>
        <v/>
      </c>
    </row>
    <row r="34">
      <c r="A34" s="7" t="inlineStr">
        <is>
          <t>RP-1017</t>
        </is>
      </c>
      <c r="B34" s="7" t="inlineStr">
        <is>
          <t>P-2028</t>
        </is>
      </c>
      <c r="C34" s="8" t="n">
        <v>45931</v>
      </c>
      <c r="D34" s="8" t="n"/>
      <c r="E34" s="9" t="n">
        <v>16</v>
      </c>
      <c r="F34" s="9" t="n">
        <v>16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16</v>
      </c>
      <c r="L34" s="9" t="n">
        <v>0</v>
      </c>
      <c r="M34" s="9" t="n">
        <v>0</v>
      </c>
      <c r="N34" s="9" t="n">
        <v>0</v>
      </c>
      <c r="O34" s="9" t="n">
        <v>0</v>
      </c>
      <c r="P34" s="7" t="inlineStr">
        <is>
          <t>90+</t>
        </is>
      </c>
      <c r="Q34" s="7" t="inlineStr">
        <is>
          <t>No</t>
        </is>
      </c>
      <c r="R34" s="10">
        <f>DATE(2026,9,23)-C34</f>
        <v/>
      </c>
    </row>
    <row r="35">
      <c r="A35" s="7" t="inlineStr">
        <is>
          <t>RP-1017</t>
        </is>
      </c>
      <c r="B35" s="7" t="inlineStr">
        <is>
          <t>P-2027</t>
        </is>
      </c>
      <c r="C35" s="8" t="n">
        <v>46170</v>
      </c>
      <c r="D35" s="8" t="n"/>
      <c r="E35" s="9" t="n">
        <v>6.3</v>
      </c>
      <c r="F35" s="9" t="n">
        <v>6.3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6.3</v>
      </c>
      <c r="L35" s="9" t="n">
        <v>0</v>
      </c>
      <c r="M35" s="9" t="n">
        <v>0</v>
      </c>
      <c r="N35" s="9" t="n">
        <v>0</v>
      </c>
      <c r="O35" s="9" t="n">
        <v>0</v>
      </c>
      <c r="P35" s="7" t="inlineStr">
        <is>
          <t>90+</t>
        </is>
      </c>
      <c r="Q35" s="7" t="inlineStr">
        <is>
          <t>No</t>
        </is>
      </c>
      <c r="R35" s="10">
        <f>DATE(2026,9,23)-C35</f>
        <v/>
      </c>
    </row>
    <row r="36">
      <c r="A36" s="7" t="inlineStr">
        <is>
          <t>RP-1005</t>
        </is>
      </c>
      <c r="B36" s="7" t="inlineStr">
        <is>
          <t>P-2007</t>
        </is>
      </c>
      <c r="C36" s="8" t="n">
        <v>45961</v>
      </c>
      <c r="D36" s="8">
        <f>TODAY()+29</f>
        <v/>
      </c>
      <c r="E36" s="9" t="n">
        <v>233</v>
      </c>
      <c r="F36" s="9" t="n">
        <v>233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233</v>
      </c>
      <c r="L36" s="9" t="n">
        <v>0</v>
      </c>
      <c r="M36" s="9" t="n">
        <v>0</v>
      </c>
      <c r="N36" s="9" t="n">
        <v>0</v>
      </c>
      <c r="O36" s="9" t="n">
        <v>0</v>
      </c>
      <c r="P36" s="7" t="inlineStr">
        <is>
          <t>90+</t>
        </is>
      </c>
      <c r="Q36" s="7" t="inlineStr">
        <is>
          <t>Yes</t>
        </is>
      </c>
      <c r="R36" s="10">
        <f>DATE(2026,9,23)-C36</f>
        <v/>
      </c>
    </row>
    <row r="37">
      <c r="A37" s="7" t="inlineStr">
        <is>
          <t>RP-1017</t>
        </is>
      </c>
      <c r="B37" s="7" t="inlineStr">
        <is>
          <t>P-2029</t>
        </is>
      </c>
      <c r="C37" s="8" t="n">
        <v>46067</v>
      </c>
      <c r="D37" s="8" t="n"/>
      <c r="E37" s="9" t="n">
        <v>103.25</v>
      </c>
      <c r="F37" s="9" t="n">
        <v>103.25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103.25</v>
      </c>
      <c r="L37" s="9" t="n">
        <v>0</v>
      </c>
      <c r="M37" s="9" t="n">
        <v>0</v>
      </c>
      <c r="N37" s="9" t="n">
        <v>0</v>
      </c>
      <c r="O37" s="9" t="n">
        <v>0</v>
      </c>
      <c r="P37" s="7" t="inlineStr">
        <is>
          <t>90+</t>
        </is>
      </c>
      <c r="Q37" s="7" t="inlineStr">
        <is>
          <t>No</t>
        </is>
      </c>
      <c r="R37" s="10">
        <f>DATE(2026,9,23)-C37</f>
        <v/>
      </c>
    </row>
    <row r="38">
      <c r="A38" s="7" t="inlineStr">
        <is>
          <t>RP-1018</t>
        </is>
      </c>
      <c r="B38" s="7" t="inlineStr">
        <is>
          <t>P-2030</t>
        </is>
      </c>
      <c r="C38" s="8" t="n">
        <v>46048</v>
      </c>
      <c r="D38" s="8" t="n"/>
      <c r="E38" s="9" t="n">
        <v>30</v>
      </c>
      <c r="F38" s="9" t="n">
        <v>30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30</v>
      </c>
      <c r="L38" s="9" t="n">
        <v>0</v>
      </c>
      <c r="M38" s="9" t="n">
        <v>0</v>
      </c>
      <c r="N38" s="9" t="n">
        <v>0</v>
      </c>
      <c r="O38" s="9" t="n">
        <v>0</v>
      </c>
      <c r="P38" s="7" t="inlineStr">
        <is>
          <t>90+</t>
        </is>
      </c>
      <c r="Q38" s="7" t="inlineStr">
        <is>
          <t>No</t>
        </is>
      </c>
      <c r="R38" s="10">
        <f>DATE(2026,9,23)-C38</f>
        <v/>
      </c>
    </row>
    <row r="39">
      <c r="A39" s="7" t="inlineStr">
        <is>
          <t>RP-1018</t>
        </is>
      </c>
      <c r="B39" s="7" t="inlineStr">
        <is>
          <t>P-2031</t>
        </is>
      </c>
      <c r="C39" s="8" t="n">
        <v>45906</v>
      </c>
      <c r="D39" s="8">
        <f>TODAY()+8</f>
        <v/>
      </c>
      <c r="E39" s="9" t="n">
        <v>16</v>
      </c>
      <c r="F39" s="9" t="n">
        <v>16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16</v>
      </c>
      <c r="L39" s="9" t="n">
        <v>0</v>
      </c>
      <c r="M39" s="9" t="n">
        <v>0</v>
      </c>
      <c r="N39" s="9" t="n">
        <v>0</v>
      </c>
      <c r="O39" s="9" t="n">
        <v>0</v>
      </c>
      <c r="P39" s="7" t="inlineStr">
        <is>
          <t>90+</t>
        </is>
      </c>
      <c r="Q39" s="7" t="inlineStr">
        <is>
          <t>Yes</t>
        </is>
      </c>
      <c r="R39" s="10">
        <f>DATE(2026,9,23)-C39</f>
        <v/>
      </c>
    </row>
    <row r="40">
      <c r="A40" s="7" t="inlineStr">
        <is>
          <t>RP-1019</t>
        </is>
      </c>
      <c r="B40" s="7" t="inlineStr">
        <is>
          <t>P-2032</t>
        </is>
      </c>
      <c r="C40" s="8" t="n">
        <v>46141</v>
      </c>
      <c r="D40" s="8" t="n"/>
      <c r="E40" s="9" t="n">
        <v>2226.15</v>
      </c>
      <c r="F40" s="9" t="n">
        <v>1228.78</v>
      </c>
      <c r="G40" s="9" t="n">
        <v>997.37</v>
      </c>
      <c r="H40" s="9" t="n">
        <v>0</v>
      </c>
      <c r="I40" s="9" t="n">
        <v>0</v>
      </c>
      <c r="J40" s="9" t="n">
        <v>0</v>
      </c>
      <c r="K40" s="9" t="n">
        <v>1228.78</v>
      </c>
      <c r="L40" s="9" t="n">
        <v>0</v>
      </c>
      <c r="M40" s="9" t="n">
        <v>0</v>
      </c>
      <c r="N40" s="9" t="n">
        <v>0</v>
      </c>
      <c r="O40" s="9" t="n">
        <v>997.37</v>
      </c>
      <c r="P40" s="7" t="inlineStr">
        <is>
          <t>90+</t>
        </is>
      </c>
      <c r="Q40" s="7" t="inlineStr">
        <is>
          <t>No</t>
        </is>
      </c>
      <c r="R40" s="10">
        <f>DATE(2026,9,23)-C40</f>
        <v/>
      </c>
    </row>
    <row r="41">
      <c r="A41" s="7" t="inlineStr">
        <is>
          <t>RP-1020</t>
        </is>
      </c>
      <c r="B41" s="7" t="inlineStr">
        <is>
          <t>P-2033</t>
        </is>
      </c>
      <c r="C41" s="8" t="n">
        <v>46020</v>
      </c>
      <c r="D41" s="8" t="n"/>
      <c r="E41" s="9" t="n">
        <v>15</v>
      </c>
      <c r="F41" s="9" t="n">
        <v>15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15</v>
      </c>
      <c r="L41" s="9" t="n">
        <v>0</v>
      </c>
      <c r="M41" s="9" t="n">
        <v>0</v>
      </c>
      <c r="N41" s="9" t="n">
        <v>0</v>
      </c>
      <c r="O41" s="9" t="n">
        <v>0</v>
      </c>
      <c r="P41" s="7" t="inlineStr">
        <is>
          <t>90+</t>
        </is>
      </c>
      <c r="Q41" s="7" t="inlineStr">
        <is>
          <t>No</t>
        </is>
      </c>
      <c r="R41" s="10">
        <f>DATE(2026,9,23)-C41</f>
        <v/>
      </c>
    </row>
    <row r="42">
      <c r="A42" s="7" t="inlineStr">
        <is>
          <t>RP-1020</t>
        </is>
      </c>
      <c r="B42" s="7" t="inlineStr">
        <is>
          <t>P-2034</t>
        </is>
      </c>
      <c r="C42" s="8" t="n">
        <v>45921</v>
      </c>
      <c r="D42" s="8" t="n"/>
      <c r="E42" s="9" t="n">
        <v>46</v>
      </c>
      <c r="F42" s="9" t="n">
        <v>46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46</v>
      </c>
      <c r="L42" s="9" t="n">
        <v>0</v>
      </c>
      <c r="M42" s="9" t="n">
        <v>0</v>
      </c>
      <c r="N42" s="9" t="n">
        <v>0</v>
      </c>
      <c r="O42" s="9" t="n">
        <v>0</v>
      </c>
      <c r="P42" s="7" t="inlineStr">
        <is>
          <t>90+</t>
        </is>
      </c>
      <c r="Q42" s="7" t="inlineStr">
        <is>
          <t>No</t>
        </is>
      </c>
      <c r="R42" s="10">
        <f>DATE(2026,9,23)-C42</f>
        <v/>
      </c>
    </row>
    <row r="43">
      <c r="A43" s="7" t="inlineStr">
        <is>
          <t>RP-1021</t>
        </is>
      </c>
      <c r="B43" s="7" t="inlineStr">
        <is>
          <t>P-2035</t>
        </is>
      </c>
      <c r="C43" s="8" t="n">
        <v>45935</v>
      </c>
      <c r="D43" s="8">
        <f>TODAY()+54</f>
        <v/>
      </c>
      <c r="E43" s="9" t="n">
        <v>30</v>
      </c>
      <c r="F43" s="9" t="n">
        <v>30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30</v>
      </c>
      <c r="L43" s="9" t="n">
        <v>0</v>
      </c>
      <c r="M43" s="9" t="n">
        <v>0</v>
      </c>
      <c r="N43" s="9" t="n">
        <v>0</v>
      </c>
      <c r="O43" s="9" t="n">
        <v>0</v>
      </c>
      <c r="P43" s="7" t="inlineStr">
        <is>
          <t>90+</t>
        </is>
      </c>
      <c r="Q43" s="7" t="inlineStr">
        <is>
          <t>Yes</t>
        </is>
      </c>
      <c r="R43" s="10">
        <f>DATE(2026,9,23)-C43</f>
        <v/>
      </c>
    </row>
    <row r="44">
      <c r="A44" s="7" t="inlineStr">
        <is>
          <t>RP-1009</t>
        </is>
      </c>
      <c r="B44" s="7" t="inlineStr">
        <is>
          <t>P-2014</t>
        </is>
      </c>
      <c r="C44" s="8" t="n">
        <v>45950</v>
      </c>
      <c r="D44" s="8" t="n"/>
      <c r="E44" s="9" t="n">
        <v>72</v>
      </c>
      <c r="F44" s="9" t="n">
        <v>72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72</v>
      </c>
      <c r="L44" s="9" t="n">
        <v>0</v>
      </c>
      <c r="M44" s="9" t="n">
        <v>0</v>
      </c>
      <c r="N44" s="9" t="n">
        <v>0</v>
      </c>
      <c r="O44" s="9" t="n">
        <v>0</v>
      </c>
      <c r="P44" s="7" t="inlineStr">
        <is>
          <t>90+</t>
        </is>
      </c>
      <c r="Q44" s="7" t="inlineStr">
        <is>
          <t>No</t>
        </is>
      </c>
      <c r="R44" s="10">
        <f>DATE(2026,9,23)-C44</f>
        <v/>
      </c>
    </row>
    <row r="45">
      <c r="A45" s="7" t="inlineStr">
        <is>
          <t>RP-1022</t>
        </is>
      </c>
      <c r="B45" s="7" t="inlineStr">
        <is>
          <t>P-2036</t>
        </is>
      </c>
      <c r="C45" s="8" t="n">
        <v>45893</v>
      </c>
      <c r="D45" s="8" t="n"/>
      <c r="E45" s="9" t="n">
        <v>2.6</v>
      </c>
      <c r="F45" s="9" t="n">
        <v>2.6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2.6</v>
      </c>
      <c r="L45" s="9" t="n">
        <v>0</v>
      </c>
      <c r="M45" s="9" t="n">
        <v>0</v>
      </c>
      <c r="N45" s="9" t="n">
        <v>0</v>
      </c>
      <c r="O45" s="9" t="n">
        <v>0</v>
      </c>
      <c r="P45" s="7" t="inlineStr">
        <is>
          <t>90+</t>
        </is>
      </c>
      <c r="Q45" s="7" t="inlineStr">
        <is>
          <t>No</t>
        </is>
      </c>
      <c r="R45" s="10">
        <f>DATE(2026,9,23)-C45</f>
        <v/>
      </c>
    </row>
    <row r="46">
      <c r="A46" s="7" t="inlineStr">
        <is>
          <t>RP-1014</t>
        </is>
      </c>
      <c r="B46" s="7" t="inlineStr">
        <is>
          <t>P-2023</t>
        </is>
      </c>
      <c r="C46" s="8" t="n">
        <v>46047</v>
      </c>
      <c r="D46" s="8">
        <f>TODAY()+41</f>
        <v/>
      </c>
      <c r="E46" s="9" t="n">
        <v>30</v>
      </c>
      <c r="F46" s="9" t="n">
        <v>30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30</v>
      </c>
      <c r="L46" s="9" t="n">
        <v>0</v>
      </c>
      <c r="M46" s="9" t="n">
        <v>0</v>
      </c>
      <c r="N46" s="9" t="n">
        <v>0</v>
      </c>
      <c r="O46" s="9" t="n">
        <v>0</v>
      </c>
      <c r="P46" s="7" t="inlineStr">
        <is>
          <t>90+</t>
        </is>
      </c>
      <c r="Q46" s="7" t="inlineStr">
        <is>
          <t>Yes</t>
        </is>
      </c>
      <c r="R46" s="10">
        <f>DATE(2026,9,23)-C46</f>
        <v/>
      </c>
    </row>
    <row r="47">
      <c r="A47" s="7" t="inlineStr">
        <is>
          <t>RP-1015</t>
        </is>
      </c>
      <c r="B47" s="7" t="inlineStr">
        <is>
          <t>P-2024</t>
        </is>
      </c>
      <c r="C47" s="8" t="n">
        <v>46079</v>
      </c>
      <c r="D47" s="8">
        <f>TODAY()+10</f>
        <v/>
      </c>
      <c r="E47" s="9" t="n">
        <v>108.6</v>
      </c>
      <c r="F47" s="9" t="n">
        <v>108.6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108.6</v>
      </c>
      <c r="L47" s="9" t="n">
        <v>0</v>
      </c>
      <c r="M47" s="9" t="n">
        <v>0</v>
      </c>
      <c r="N47" s="9" t="n">
        <v>0</v>
      </c>
      <c r="O47" s="9" t="n">
        <v>0</v>
      </c>
      <c r="P47" s="7" t="inlineStr">
        <is>
          <t>90+</t>
        </is>
      </c>
      <c r="Q47" s="7" t="inlineStr">
        <is>
          <t>Yes</t>
        </is>
      </c>
      <c r="R47" s="10">
        <f>DATE(2026,9,23)-C47</f>
        <v/>
      </c>
    </row>
    <row r="48">
      <c r="A48" s="7" t="inlineStr">
        <is>
          <t>RP-1009</t>
        </is>
      </c>
      <c r="B48" s="7" t="inlineStr">
        <is>
          <t>P-2013</t>
        </is>
      </c>
      <c r="C48" s="8" t="n">
        <v>46152</v>
      </c>
      <c r="D48" s="8" t="n"/>
      <c r="E48" s="9" t="n">
        <v>138</v>
      </c>
      <c r="F48" s="9" t="n">
        <v>138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138</v>
      </c>
      <c r="L48" s="9" t="n">
        <v>0</v>
      </c>
      <c r="M48" s="9" t="n">
        <v>0</v>
      </c>
      <c r="N48" s="9" t="n">
        <v>0</v>
      </c>
      <c r="O48" s="9" t="n">
        <v>0</v>
      </c>
      <c r="P48" s="7" t="inlineStr">
        <is>
          <t>90+</t>
        </is>
      </c>
      <c r="Q48" s="7" t="inlineStr">
        <is>
          <t>No</t>
        </is>
      </c>
      <c r="R48" s="10">
        <f>DATE(2026,9,23)-C48</f>
        <v/>
      </c>
    </row>
    <row r="49">
      <c r="A49" s="7" t="inlineStr">
        <is>
          <t>RP-1023</t>
        </is>
      </c>
      <c r="B49" s="7" t="inlineStr">
        <is>
          <t>P-2037</t>
        </is>
      </c>
      <c r="C49" s="8" t="n">
        <v>46010</v>
      </c>
      <c r="D49" s="8" t="n"/>
      <c r="E49" s="9" t="n">
        <v>366</v>
      </c>
      <c r="F49" s="9" t="n">
        <v>366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366</v>
      </c>
      <c r="L49" s="9" t="n">
        <v>0</v>
      </c>
      <c r="M49" s="9" t="n">
        <v>0</v>
      </c>
      <c r="N49" s="9" t="n">
        <v>0</v>
      </c>
      <c r="O49" s="9" t="n">
        <v>0</v>
      </c>
      <c r="P49" s="7" t="inlineStr">
        <is>
          <t>90+</t>
        </is>
      </c>
      <c r="Q49" s="7" t="inlineStr">
        <is>
          <t>No</t>
        </is>
      </c>
      <c r="R49" s="10">
        <f>DATE(2026,9,23)-C49</f>
        <v/>
      </c>
    </row>
    <row r="50">
      <c r="A50" s="7" t="inlineStr">
        <is>
          <t>RP-1023</t>
        </is>
      </c>
      <c r="B50" s="7" t="inlineStr">
        <is>
          <t>P-2038</t>
        </is>
      </c>
      <c r="C50" s="8" t="n">
        <v>46189</v>
      </c>
      <c r="D50" s="8" t="n"/>
      <c r="E50" s="9" t="n">
        <v>984</v>
      </c>
      <c r="F50" s="9" t="n">
        <v>984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984</v>
      </c>
      <c r="L50" s="9" t="n">
        <v>0</v>
      </c>
      <c r="M50" s="9" t="n">
        <v>0</v>
      </c>
      <c r="N50" s="9" t="n">
        <v>0</v>
      </c>
      <c r="O50" s="9" t="n">
        <v>0</v>
      </c>
      <c r="P50" s="7" t="inlineStr">
        <is>
          <t>90+</t>
        </is>
      </c>
      <c r="Q50" s="7" t="inlineStr">
        <is>
          <t>No</t>
        </is>
      </c>
      <c r="R50" s="10">
        <f>DATE(2026,9,23)-C50</f>
        <v/>
      </c>
    </row>
    <row r="51">
      <c r="A51" s="7" t="inlineStr">
        <is>
          <t>RP-1024</t>
        </is>
      </c>
      <c r="B51" s="7" t="inlineStr">
        <is>
          <t>P-2039</t>
        </is>
      </c>
      <c r="C51" s="8" t="n">
        <v>45956</v>
      </c>
      <c r="D51" s="8">
        <f>TODAY()+65</f>
        <v/>
      </c>
      <c r="E51" s="9" t="n">
        <v>50</v>
      </c>
      <c r="F51" s="9" t="n">
        <v>50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50</v>
      </c>
      <c r="L51" s="9" t="n">
        <v>0</v>
      </c>
      <c r="M51" s="9" t="n">
        <v>0</v>
      </c>
      <c r="N51" s="9" t="n">
        <v>0</v>
      </c>
      <c r="O51" s="9" t="n">
        <v>0</v>
      </c>
      <c r="P51" s="7" t="inlineStr">
        <is>
          <t>90+</t>
        </is>
      </c>
      <c r="Q51" s="7" t="inlineStr">
        <is>
          <t>Yes</t>
        </is>
      </c>
      <c r="R51" s="10">
        <f>DATE(2026,9,23)-C51</f>
        <v/>
      </c>
    </row>
    <row r="52">
      <c r="A52" s="7" t="inlineStr">
        <is>
          <t>RP-1025</t>
        </is>
      </c>
      <c r="B52" s="7" t="inlineStr">
        <is>
          <t>P-2040</t>
        </is>
      </c>
      <c r="C52" s="8" t="n">
        <v>45901</v>
      </c>
      <c r="D52" s="8" t="n"/>
      <c r="E52" s="9" t="n">
        <v>28.4</v>
      </c>
      <c r="F52" s="9" t="n">
        <v>28.4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28.4</v>
      </c>
      <c r="L52" s="9" t="n">
        <v>0</v>
      </c>
      <c r="M52" s="9" t="n">
        <v>0</v>
      </c>
      <c r="N52" s="9" t="n">
        <v>0</v>
      </c>
      <c r="O52" s="9" t="n">
        <v>0</v>
      </c>
      <c r="P52" s="7" t="inlineStr">
        <is>
          <t>90+</t>
        </is>
      </c>
      <c r="Q52" s="7" t="inlineStr">
        <is>
          <t>No</t>
        </is>
      </c>
      <c r="R52" s="10">
        <f>DATE(2026,9,23)-C52</f>
        <v/>
      </c>
    </row>
    <row r="53">
      <c r="A53" s="7" t="inlineStr">
        <is>
          <t>RP-1026</t>
        </is>
      </c>
      <c r="B53" s="7" t="inlineStr">
        <is>
          <t>P-2041</t>
        </is>
      </c>
      <c r="C53" s="8" t="n">
        <v>45983</v>
      </c>
      <c r="D53" s="8" t="n"/>
      <c r="E53" s="9" t="n">
        <v>277</v>
      </c>
      <c r="F53" s="9" t="n">
        <v>277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277</v>
      </c>
      <c r="L53" s="9" t="n">
        <v>0</v>
      </c>
      <c r="M53" s="9" t="n">
        <v>0</v>
      </c>
      <c r="N53" s="9" t="n">
        <v>0</v>
      </c>
      <c r="O53" s="9" t="n">
        <v>0</v>
      </c>
      <c r="P53" s="7" t="inlineStr">
        <is>
          <t>90+</t>
        </is>
      </c>
      <c r="Q53" s="7" t="inlineStr">
        <is>
          <t>No</t>
        </is>
      </c>
      <c r="R53" s="10">
        <f>DATE(2026,9,23)-C53</f>
        <v/>
      </c>
    </row>
    <row r="54">
      <c r="A54" s="7" t="inlineStr">
        <is>
          <t>RP-1027</t>
        </is>
      </c>
      <c r="B54" s="7" t="inlineStr">
        <is>
          <t>P-2042</t>
        </is>
      </c>
      <c r="C54" s="8" t="n">
        <v>46169</v>
      </c>
      <c r="D54" s="8" t="n"/>
      <c r="E54" s="9" t="n">
        <v>66</v>
      </c>
      <c r="F54" s="9" t="n">
        <v>66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66</v>
      </c>
      <c r="L54" s="9" t="n">
        <v>0</v>
      </c>
      <c r="M54" s="9" t="n">
        <v>0</v>
      </c>
      <c r="N54" s="9" t="n">
        <v>0</v>
      </c>
      <c r="O54" s="9" t="n">
        <v>0</v>
      </c>
      <c r="P54" s="7" t="inlineStr">
        <is>
          <t>90+</t>
        </is>
      </c>
      <c r="Q54" s="7" t="inlineStr">
        <is>
          <t>No</t>
        </is>
      </c>
      <c r="R54" s="10">
        <f>DATE(2026,9,23)-C54</f>
        <v/>
      </c>
    </row>
    <row r="55">
      <c r="A55" s="7" t="inlineStr">
        <is>
          <t>RP-1010</t>
        </is>
      </c>
      <c r="B55" s="7" t="inlineStr">
        <is>
          <t>P-2016</t>
        </is>
      </c>
      <c r="C55" s="8" t="n">
        <v>45984</v>
      </c>
      <c r="D55" s="8" t="n"/>
      <c r="E55" s="9" t="n">
        <v>99.59999999999999</v>
      </c>
      <c r="F55" s="9" t="n">
        <v>99.59999999999999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99.59999999999999</v>
      </c>
      <c r="L55" s="9" t="n">
        <v>0</v>
      </c>
      <c r="M55" s="9" t="n">
        <v>0</v>
      </c>
      <c r="N55" s="9" t="n">
        <v>0</v>
      </c>
      <c r="O55" s="9" t="n">
        <v>0</v>
      </c>
      <c r="P55" s="7" t="inlineStr">
        <is>
          <t>90+</t>
        </is>
      </c>
      <c r="Q55" s="7" t="inlineStr">
        <is>
          <t>No</t>
        </is>
      </c>
      <c r="R55" s="10">
        <f>DATE(2026,9,23)-C55</f>
        <v/>
      </c>
    </row>
    <row r="56">
      <c r="A56" s="7" t="inlineStr">
        <is>
          <t>RP-1027</t>
        </is>
      </c>
      <c r="B56" s="7" t="inlineStr">
        <is>
          <t>P-2043</t>
        </is>
      </c>
      <c r="C56" s="8" t="n">
        <v>46065</v>
      </c>
      <c r="D56" s="8" t="n"/>
      <c r="E56" s="9" t="n">
        <v>848.5</v>
      </c>
      <c r="F56" s="9" t="n">
        <v>848.5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848.5</v>
      </c>
      <c r="L56" s="9" t="n">
        <v>0</v>
      </c>
      <c r="M56" s="9" t="n">
        <v>0</v>
      </c>
      <c r="N56" s="9" t="n">
        <v>0</v>
      </c>
      <c r="O56" s="9" t="n">
        <v>0</v>
      </c>
      <c r="P56" s="7" t="inlineStr">
        <is>
          <t>90+</t>
        </is>
      </c>
      <c r="Q56" s="7" t="inlineStr">
        <is>
          <t>No</t>
        </is>
      </c>
      <c r="R56" s="10">
        <f>DATE(2026,9,23)-C56</f>
        <v/>
      </c>
    </row>
    <row r="57">
      <c r="A57" s="7" t="inlineStr">
        <is>
          <t>RP-1027</t>
        </is>
      </c>
      <c r="B57" s="7" t="inlineStr">
        <is>
          <t>P-2044</t>
        </is>
      </c>
      <c r="C57" s="8" t="n">
        <v>45898</v>
      </c>
      <c r="D57" s="8">
        <f>TODAY()+23</f>
        <v/>
      </c>
      <c r="E57" s="9" t="n">
        <v>30.6</v>
      </c>
      <c r="F57" s="9" t="n">
        <v>30.6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30.6</v>
      </c>
      <c r="L57" s="9" t="n">
        <v>0</v>
      </c>
      <c r="M57" s="9" t="n">
        <v>0</v>
      </c>
      <c r="N57" s="9" t="n">
        <v>0</v>
      </c>
      <c r="O57" s="9" t="n">
        <v>0</v>
      </c>
      <c r="P57" s="7" t="inlineStr">
        <is>
          <t>90+</t>
        </is>
      </c>
      <c r="Q57" s="7" t="inlineStr">
        <is>
          <t>Yes</t>
        </is>
      </c>
      <c r="R57" s="10">
        <f>DATE(2026,9,23)-C57</f>
        <v/>
      </c>
    </row>
    <row r="58">
      <c r="A58" s="7" t="inlineStr">
        <is>
          <t>RP-1028</t>
        </is>
      </c>
      <c r="B58" s="7" t="inlineStr">
        <is>
          <t>P-2045</t>
        </is>
      </c>
      <c r="C58" s="8" t="n">
        <v>46168</v>
      </c>
      <c r="D58" s="8" t="n"/>
      <c r="E58" s="9" t="n">
        <v>50</v>
      </c>
      <c r="F58" s="9" t="n">
        <v>50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50</v>
      </c>
      <c r="L58" s="9" t="n">
        <v>0</v>
      </c>
      <c r="M58" s="9" t="n">
        <v>0</v>
      </c>
      <c r="N58" s="9" t="n">
        <v>0</v>
      </c>
      <c r="O58" s="9" t="n">
        <v>0</v>
      </c>
      <c r="P58" s="7" t="inlineStr">
        <is>
          <t>90+</t>
        </is>
      </c>
      <c r="Q58" s="7" t="inlineStr">
        <is>
          <t>No</t>
        </is>
      </c>
      <c r="R58" s="10">
        <f>DATE(2026,9,23)-C58</f>
        <v/>
      </c>
    </row>
    <row r="59">
      <c r="A59" s="7" t="inlineStr">
        <is>
          <t>RP-1025</t>
        </is>
      </c>
      <c r="B59" s="7" t="inlineStr">
        <is>
          <t>P-2040</t>
        </is>
      </c>
      <c r="C59" s="8" t="n">
        <v>45901</v>
      </c>
      <c r="D59" s="8" t="n"/>
      <c r="E59" s="9" t="n">
        <v>12.4</v>
      </c>
      <c r="F59" s="9" t="n">
        <v>12.4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12.4</v>
      </c>
      <c r="L59" s="9" t="n">
        <v>0</v>
      </c>
      <c r="M59" s="9" t="n">
        <v>0</v>
      </c>
      <c r="N59" s="9" t="n">
        <v>0</v>
      </c>
      <c r="O59" s="9" t="n">
        <v>0</v>
      </c>
      <c r="P59" s="7" t="inlineStr">
        <is>
          <t>90+</t>
        </is>
      </c>
      <c r="Q59" s="7" t="inlineStr">
        <is>
          <t>No</t>
        </is>
      </c>
      <c r="R59" s="10">
        <f>DATE(2026,9,23)-C59</f>
        <v/>
      </c>
    </row>
    <row r="60">
      <c r="A60" s="7" t="inlineStr">
        <is>
          <t>RP-1029</t>
        </is>
      </c>
      <c r="B60" s="7" t="inlineStr">
        <is>
          <t>P-2046</t>
        </is>
      </c>
      <c r="C60" s="8" t="n">
        <v>46020</v>
      </c>
      <c r="D60" s="8" t="n"/>
      <c r="E60" s="9" t="n">
        <v>0.2</v>
      </c>
      <c r="F60" s="9" t="n">
        <v>0.2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0.2</v>
      </c>
      <c r="L60" s="9" t="n">
        <v>0</v>
      </c>
      <c r="M60" s="9" t="n">
        <v>0</v>
      </c>
      <c r="N60" s="9" t="n">
        <v>0</v>
      </c>
      <c r="O60" s="9" t="n">
        <v>0</v>
      </c>
      <c r="P60" s="7" t="inlineStr">
        <is>
          <t>90+</t>
        </is>
      </c>
      <c r="Q60" s="7" t="inlineStr">
        <is>
          <t>No</t>
        </is>
      </c>
      <c r="R60" s="10">
        <f>DATE(2026,9,23)-C60</f>
        <v/>
      </c>
    </row>
    <row r="61">
      <c r="A61" s="7" t="inlineStr">
        <is>
          <t>RP-1029</t>
        </is>
      </c>
      <c r="B61" s="7" t="inlineStr">
        <is>
          <t>P-2047</t>
        </is>
      </c>
      <c r="C61" s="8" t="n">
        <v>45962</v>
      </c>
      <c r="D61" s="8">
        <f>TODAY()+62</f>
        <v/>
      </c>
      <c r="E61" s="9" t="n">
        <v>107</v>
      </c>
      <c r="F61" s="9" t="n">
        <v>107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107</v>
      </c>
      <c r="L61" s="9" t="n">
        <v>0</v>
      </c>
      <c r="M61" s="9" t="n">
        <v>0</v>
      </c>
      <c r="N61" s="9" t="n">
        <v>0</v>
      </c>
      <c r="O61" s="9" t="n">
        <v>0</v>
      </c>
      <c r="P61" s="7" t="inlineStr">
        <is>
          <t>90+</t>
        </is>
      </c>
      <c r="Q61" s="7" t="inlineStr">
        <is>
          <t>Yes</t>
        </is>
      </c>
      <c r="R61" s="10">
        <f>DATE(2026,9,23)-C61</f>
        <v/>
      </c>
    </row>
    <row r="62">
      <c r="A62" s="7" t="inlineStr">
        <is>
          <t>RP-1030</t>
        </is>
      </c>
      <c r="B62" s="7" t="inlineStr">
        <is>
          <t>P-2048</t>
        </is>
      </c>
      <c r="C62" s="8" t="n">
        <v>46262</v>
      </c>
      <c r="D62" s="8">
        <f>TODAY()+18</f>
        <v/>
      </c>
      <c r="E62" s="9" t="n">
        <v>357</v>
      </c>
      <c r="F62" s="9" t="n">
        <v>0</v>
      </c>
      <c r="G62" s="9" t="n">
        <v>357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357</v>
      </c>
      <c r="P62" s="7" t="inlineStr">
        <is>
          <t>90+</t>
        </is>
      </c>
      <c r="Q62" s="7" t="inlineStr">
        <is>
          <t>Yes</t>
        </is>
      </c>
      <c r="R62" s="10">
        <f>DATE(2026,9,23)-C62</f>
        <v/>
      </c>
    </row>
    <row r="63">
      <c r="A63" s="7" t="inlineStr">
        <is>
          <t>RP-1030</t>
        </is>
      </c>
      <c r="B63" s="7" t="inlineStr">
        <is>
          <t>P-2049</t>
        </is>
      </c>
      <c r="C63" s="8" t="n">
        <v>46165</v>
      </c>
      <c r="D63" s="8" t="n"/>
      <c r="E63" s="9" t="n">
        <v>3362.32</v>
      </c>
      <c r="F63" s="9" t="n">
        <v>3362.32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3362.32</v>
      </c>
      <c r="L63" s="9" t="n">
        <v>0</v>
      </c>
      <c r="M63" s="9" t="n">
        <v>0</v>
      </c>
      <c r="N63" s="9" t="n">
        <v>0</v>
      </c>
      <c r="O63" s="9" t="n">
        <v>0</v>
      </c>
      <c r="P63" s="7" t="inlineStr">
        <is>
          <t>90+</t>
        </is>
      </c>
      <c r="Q63" s="7" t="inlineStr">
        <is>
          <t>No</t>
        </is>
      </c>
      <c r="R63" s="10">
        <f>DATE(2026,9,23)-C63</f>
        <v/>
      </c>
    </row>
    <row r="64">
      <c r="A64" s="7" t="inlineStr">
        <is>
          <t>RP-1031</t>
        </is>
      </c>
      <c r="B64" s="7" t="inlineStr">
        <is>
          <t>P-2050</t>
        </is>
      </c>
      <c r="C64" s="8" t="n">
        <v>45901</v>
      </c>
      <c r="D64" s="8" t="n"/>
      <c r="E64" s="9" t="n">
        <v>15.2</v>
      </c>
      <c r="F64" s="9" t="n">
        <v>15.2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15.2</v>
      </c>
      <c r="L64" s="9" t="n">
        <v>0</v>
      </c>
      <c r="M64" s="9" t="n">
        <v>0</v>
      </c>
      <c r="N64" s="9" t="n">
        <v>0</v>
      </c>
      <c r="O64" s="9" t="n">
        <v>0</v>
      </c>
      <c r="P64" s="7" t="inlineStr">
        <is>
          <t>90+</t>
        </is>
      </c>
      <c r="Q64" s="7" t="inlineStr">
        <is>
          <t>No</t>
        </is>
      </c>
      <c r="R64" s="10">
        <f>DATE(2026,9,23)-C64</f>
        <v/>
      </c>
    </row>
    <row r="65">
      <c r="A65" s="7" t="inlineStr">
        <is>
          <t>RP-1032</t>
        </is>
      </c>
      <c r="B65" s="7" t="inlineStr">
        <is>
          <t>P-2051</t>
        </is>
      </c>
      <c r="C65" s="8" t="n">
        <v>45917</v>
      </c>
      <c r="D65" s="8">
        <f>TODAY()+36</f>
        <v/>
      </c>
      <c r="E65" s="9" t="n">
        <v>116</v>
      </c>
      <c r="F65" s="9" t="n">
        <v>116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116</v>
      </c>
      <c r="L65" s="9" t="n">
        <v>0</v>
      </c>
      <c r="M65" s="9" t="n">
        <v>0</v>
      </c>
      <c r="N65" s="9" t="n">
        <v>0</v>
      </c>
      <c r="O65" s="9" t="n">
        <v>0</v>
      </c>
      <c r="P65" s="7" t="inlineStr">
        <is>
          <t>90+</t>
        </is>
      </c>
      <c r="Q65" s="7" t="inlineStr">
        <is>
          <t>Yes</t>
        </is>
      </c>
      <c r="R65" s="10">
        <f>DATE(2026,9,23)-C65</f>
        <v/>
      </c>
    </row>
    <row r="66">
      <c r="A66" s="7" t="inlineStr">
        <is>
          <t>RP-1027</t>
        </is>
      </c>
      <c r="B66" s="7" t="inlineStr">
        <is>
          <t>P-2042</t>
        </is>
      </c>
      <c r="C66" s="8" t="n">
        <v>46169</v>
      </c>
      <c r="D66" s="8" t="n"/>
      <c r="E66" s="9" t="n">
        <v>30</v>
      </c>
      <c r="F66" s="9" t="n">
        <v>30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30</v>
      </c>
      <c r="L66" s="9" t="n">
        <v>0</v>
      </c>
      <c r="M66" s="9" t="n">
        <v>0</v>
      </c>
      <c r="N66" s="9" t="n">
        <v>0</v>
      </c>
      <c r="O66" s="9" t="n">
        <v>0</v>
      </c>
      <c r="P66" s="7" t="inlineStr">
        <is>
          <t>90+</t>
        </is>
      </c>
      <c r="Q66" s="7" t="inlineStr">
        <is>
          <t>No</t>
        </is>
      </c>
      <c r="R66" s="10">
        <f>DATE(2026,9,23)-C66</f>
        <v/>
      </c>
    </row>
    <row r="67">
      <c r="A67" s="7" t="inlineStr">
        <is>
          <t>RP-1033</t>
        </is>
      </c>
      <c r="B67" s="7" t="inlineStr">
        <is>
          <t>P-2052</t>
        </is>
      </c>
      <c r="C67" s="8" t="n">
        <v>46029</v>
      </c>
      <c r="D67" s="8" t="n"/>
      <c r="E67" s="9" t="n">
        <v>21.8</v>
      </c>
      <c r="F67" s="9" t="n">
        <v>21.8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21.8</v>
      </c>
      <c r="L67" s="9" t="n">
        <v>0</v>
      </c>
      <c r="M67" s="9" t="n">
        <v>0</v>
      </c>
      <c r="N67" s="9" t="n">
        <v>0</v>
      </c>
      <c r="O67" s="9" t="n">
        <v>0</v>
      </c>
      <c r="P67" s="7" t="inlineStr">
        <is>
          <t>90+</t>
        </is>
      </c>
      <c r="Q67" s="7" t="inlineStr">
        <is>
          <t>No</t>
        </is>
      </c>
      <c r="R67" s="10">
        <f>DATE(2026,9,23)-C67</f>
        <v/>
      </c>
    </row>
    <row r="68">
      <c r="A68" s="7" t="inlineStr">
        <is>
          <t>RP-1033</t>
        </is>
      </c>
      <c r="B68" s="7" t="inlineStr">
        <is>
          <t>P-2053</t>
        </is>
      </c>
      <c r="C68" s="8" t="n">
        <v>45907</v>
      </c>
      <c r="D68" s="8" t="n"/>
      <c r="E68" s="9" t="n">
        <v>88</v>
      </c>
      <c r="F68" s="9" t="n">
        <v>88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88</v>
      </c>
      <c r="L68" s="9" t="n">
        <v>0</v>
      </c>
      <c r="M68" s="9" t="n">
        <v>0</v>
      </c>
      <c r="N68" s="9" t="n">
        <v>0</v>
      </c>
      <c r="O68" s="9" t="n">
        <v>0</v>
      </c>
      <c r="P68" s="7" t="inlineStr">
        <is>
          <t>90+</t>
        </is>
      </c>
      <c r="Q68" s="7" t="inlineStr">
        <is>
          <t>No</t>
        </is>
      </c>
      <c r="R68" s="10">
        <f>DATE(2026,9,23)-C68</f>
        <v/>
      </c>
    </row>
    <row r="69">
      <c r="A69" s="7" t="inlineStr">
        <is>
          <t>RP-1034</t>
        </is>
      </c>
      <c r="B69" s="7" t="inlineStr">
        <is>
          <t>P-2054</t>
        </is>
      </c>
      <c r="C69" s="8" t="n">
        <v>45925</v>
      </c>
      <c r="D69" s="8">
        <f>TODAY()+70</f>
        <v/>
      </c>
      <c r="E69" s="9" t="n">
        <v>50</v>
      </c>
      <c r="F69" s="9" t="n">
        <v>50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50</v>
      </c>
      <c r="L69" s="9" t="n">
        <v>0</v>
      </c>
      <c r="M69" s="9" t="n">
        <v>0</v>
      </c>
      <c r="N69" s="9" t="n">
        <v>0</v>
      </c>
      <c r="O69" s="9" t="n">
        <v>0</v>
      </c>
      <c r="P69" s="7" t="inlineStr">
        <is>
          <t>90+</t>
        </is>
      </c>
      <c r="Q69" s="7" t="inlineStr">
        <is>
          <t>Yes</t>
        </is>
      </c>
      <c r="R69" s="10">
        <f>DATE(2026,9,23)-C69</f>
        <v/>
      </c>
    </row>
    <row r="70">
      <c r="A70" s="7" t="inlineStr">
        <is>
          <t>RP-1035</t>
        </is>
      </c>
      <c r="B70" s="7" t="inlineStr">
        <is>
          <t>P-2055</t>
        </is>
      </c>
      <c r="C70" s="8" t="n">
        <v>46056</v>
      </c>
      <c r="D70" s="8">
        <f>TODAY()+31</f>
        <v/>
      </c>
      <c r="E70" s="9" t="n">
        <v>20.8</v>
      </c>
      <c r="F70" s="9" t="n">
        <v>20.8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20.8</v>
      </c>
      <c r="L70" s="9" t="n">
        <v>0</v>
      </c>
      <c r="M70" s="9" t="n">
        <v>0</v>
      </c>
      <c r="N70" s="9" t="n">
        <v>0</v>
      </c>
      <c r="O70" s="9" t="n">
        <v>0</v>
      </c>
      <c r="P70" s="7" t="inlineStr">
        <is>
          <t>90+</t>
        </is>
      </c>
      <c r="Q70" s="7" t="inlineStr">
        <is>
          <t>Yes</t>
        </is>
      </c>
      <c r="R70" s="10">
        <f>DATE(2026,9,23)-C70</f>
        <v/>
      </c>
    </row>
    <row r="71">
      <c r="A71" s="7" t="inlineStr">
        <is>
          <t>RP-1035</t>
        </is>
      </c>
      <c r="B71" s="7" t="inlineStr">
        <is>
          <t>P-2056</t>
        </is>
      </c>
      <c r="C71" s="8" t="n">
        <v>46010</v>
      </c>
      <c r="D71" s="8" t="n"/>
      <c r="E71" s="9" t="n">
        <v>109</v>
      </c>
      <c r="F71" s="9" t="n">
        <v>109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109</v>
      </c>
      <c r="L71" s="9" t="n">
        <v>0</v>
      </c>
      <c r="M71" s="9" t="n">
        <v>0</v>
      </c>
      <c r="N71" s="9" t="n">
        <v>0</v>
      </c>
      <c r="O71" s="9" t="n">
        <v>0</v>
      </c>
      <c r="P71" s="7" t="inlineStr">
        <is>
          <t>90+</t>
        </is>
      </c>
      <c r="Q71" s="7" t="inlineStr">
        <is>
          <t>No</t>
        </is>
      </c>
      <c r="R71" s="10">
        <f>DATE(2026,9,23)-C71</f>
        <v/>
      </c>
    </row>
    <row r="72">
      <c r="A72" s="7" t="inlineStr">
        <is>
          <t>RP-1015</t>
        </is>
      </c>
      <c r="B72" s="7" t="inlineStr">
        <is>
          <t>P-2024</t>
        </is>
      </c>
      <c r="C72" s="8" t="n">
        <v>46079</v>
      </c>
      <c r="D72" s="8">
        <f>TODAY()+10</f>
        <v/>
      </c>
      <c r="E72" s="9" t="n">
        <v>311</v>
      </c>
      <c r="F72" s="9" t="n">
        <v>90</v>
      </c>
      <c r="G72" s="9" t="n">
        <v>221</v>
      </c>
      <c r="H72" s="9" t="n">
        <v>0</v>
      </c>
      <c r="I72" s="9" t="n">
        <v>0</v>
      </c>
      <c r="J72" s="9" t="n">
        <v>0</v>
      </c>
      <c r="K72" s="9" t="n">
        <v>90</v>
      </c>
      <c r="L72" s="9" t="n">
        <v>0</v>
      </c>
      <c r="M72" s="9" t="n">
        <v>0</v>
      </c>
      <c r="N72" s="9" t="n">
        <v>0</v>
      </c>
      <c r="O72" s="9" t="n">
        <v>221</v>
      </c>
      <c r="P72" s="7" t="inlineStr">
        <is>
          <t>90+</t>
        </is>
      </c>
      <c r="Q72" s="7" t="inlineStr">
        <is>
          <t>Yes</t>
        </is>
      </c>
      <c r="R72" s="10">
        <f>DATE(2026,9,23)-C72</f>
        <v/>
      </c>
    </row>
    <row r="73">
      <c r="A73" s="7" t="inlineStr">
        <is>
          <t>RP-1009</t>
        </is>
      </c>
      <c r="B73" s="7" t="inlineStr">
        <is>
          <t>P-2013</t>
        </is>
      </c>
      <c r="C73" s="8" t="n">
        <v>46152</v>
      </c>
      <c r="D73" s="8" t="n"/>
      <c r="E73" s="9" t="n">
        <v>61.2</v>
      </c>
      <c r="F73" s="9" t="n">
        <v>61.2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61.2</v>
      </c>
      <c r="L73" s="9" t="n">
        <v>0</v>
      </c>
      <c r="M73" s="9" t="n">
        <v>0</v>
      </c>
      <c r="N73" s="9" t="n">
        <v>0</v>
      </c>
      <c r="O73" s="9" t="n">
        <v>0</v>
      </c>
      <c r="P73" s="7" t="inlineStr">
        <is>
          <t>90+</t>
        </is>
      </c>
      <c r="Q73" s="7" t="inlineStr">
        <is>
          <t>No</t>
        </is>
      </c>
      <c r="R73" s="10">
        <f>DATE(2026,9,23)-C73</f>
        <v/>
      </c>
    </row>
    <row r="74">
      <c r="A74" s="7" t="inlineStr">
        <is>
          <t>RP-1036</t>
        </is>
      </c>
      <c r="B74" s="7" t="inlineStr">
        <is>
          <t>P-2057</t>
        </is>
      </c>
      <c r="C74" s="8" t="n">
        <v>45986</v>
      </c>
      <c r="D74" s="8" t="n"/>
      <c r="E74" s="9" t="n">
        <v>124.8</v>
      </c>
      <c r="F74" s="9" t="n">
        <v>124.8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124.8</v>
      </c>
      <c r="L74" s="9" t="n">
        <v>0</v>
      </c>
      <c r="M74" s="9" t="n">
        <v>0</v>
      </c>
      <c r="N74" s="9" t="n">
        <v>0</v>
      </c>
      <c r="O74" s="9" t="n">
        <v>0</v>
      </c>
      <c r="P74" s="7" t="inlineStr">
        <is>
          <t>90+</t>
        </is>
      </c>
      <c r="Q74" s="7" t="inlineStr">
        <is>
          <t>No</t>
        </is>
      </c>
      <c r="R74" s="10">
        <f>DATE(2026,9,23)-C74</f>
        <v/>
      </c>
    </row>
    <row r="75">
      <c r="A75" s="7" t="inlineStr">
        <is>
          <t>RP-1036</t>
        </is>
      </c>
      <c r="B75" s="7" t="inlineStr">
        <is>
          <t>P-2058</t>
        </is>
      </c>
      <c r="C75" s="8" t="n">
        <v>45942</v>
      </c>
      <c r="D75" s="8">
        <f>TODAY()+23</f>
        <v/>
      </c>
      <c r="E75" s="9" t="n">
        <v>208</v>
      </c>
      <c r="F75" s="9" t="n">
        <v>208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208</v>
      </c>
      <c r="L75" s="9" t="n">
        <v>0</v>
      </c>
      <c r="M75" s="9" t="n">
        <v>0</v>
      </c>
      <c r="N75" s="9" t="n">
        <v>0</v>
      </c>
      <c r="O75" s="9" t="n">
        <v>0</v>
      </c>
      <c r="P75" s="7" t="inlineStr">
        <is>
          <t>90+</t>
        </is>
      </c>
      <c r="Q75" s="7" t="inlineStr">
        <is>
          <t>Yes</t>
        </is>
      </c>
      <c r="R75" s="10">
        <f>DATE(2026,9,23)-C75</f>
        <v/>
      </c>
    </row>
    <row r="76">
      <c r="A76" s="7" t="inlineStr">
        <is>
          <t>RP-1037</t>
        </is>
      </c>
      <c r="B76" s="7" t="inlineStr">
        <is>
          <t>P-2059</t>
        </is>
      </c>
      <c r="C76" s="8" t="n">
        <v>46090</v>
      </c>
      <c r="D76" s="8">
        <f>TODAY()+17</f>
        <v/>
      </c>
      <c r="E76" s="9" t="n">
        <v>30</v>
      </c>
      <c r="F76" s="9" t="n">
        <v>30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30</v>
      </c>
      <c r="L76" s="9" t="n">
        <v>0</v>
      </c>
      <c r="M76" s="9" t="n">
        <v>0</v>
      </c>
      <c r="N76" s="9" t="n">
        <v>0</v>
      </c>
      <c r="O76" s="9" t="n">
        <v>0</v>
      </c>
      <c r="P76" s="7" t="inlineStr">
        <is>
          <t>90+</t>
        </is>
      </c>
      <c r="Q76" s="7" t="inlineStr">
        <is>
          <t>Yes</t>
        </is>
      </c>
      <c r="R76" s="10">
        <f>DATE(2026,9,23)-C76</f>
        <v/>
      </c>
    </row>
    <row r="77">
      <c r="A77" s="7" t="inlineStr">
        <is>
          <t>RP-1038</t>
        </is>
      </c>
      <c r="B77" s="7" t="inlineStr">
        <is>
          <t>P-2060</t>
        </is>
      </c>
      <c r="C77" s="8" t="n">
        <v>45925</v>
      </c>
      <c r="D77" s="8">
        <f>TODAY()+42</f>
        <v/>
      </c>
      <c r="E77" s="9" t="n">
        <v>3180</v>
      </c>
      <c r="F77" s="9" t="n">
        <v>3180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3180</v>
      </c>
      <c r="L77" s="9" t="n">
        <v>0</v>
      </c>
      <c r="M77" s="9" t="n">
        <v>0</v>
      </c>
      <c r="N77" s="9" t="n">
        <v>0</v>
      </c>
      <c r="O77" s="9" t="n">
        <v>0</v>
      </c>
      <c r="P77" s="7" t="inlineStr">
        <is>
          <t>90+</t>
        </is>
      </c>
      <c r="Q77" s="7" t="inlineStr">
        <is>
          <t>Yes</t>
        </is>
      </c>
      <c r="R77" s="10">
        <f>DATE(2026,9,23)-C77</f>
        <v/>
      </c>
    </row>
    <row r="78">
      <c r="A78" s="7" t="inlineStr">
        <is>
          <t>RP-1039</t>
        </is>
      </c>
      <c r="B78" s="7" t="inlineStr">
        <is>
          <t>P-2061</t>
        </is>
      </c>
      <c r="C78" s="8" t="n">
        <v>46098</v>
      </c>
      <c r="D78" s="8" t="n"/>
      <c r="E78" s="9" t="n">
        <v>72.40000000000001</v>
      </c>
      <c r="F78" s="9" t="n">
        <v>72.40000000000001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72.40000000000001</v>
      </c>
      <c r="L78" s="9" t="n">
        <v>0</v>
      </c>
      <c r="M78" s="9" t="n">
        <v>0</v>
      </c>
      <c r="N78" s="9" t="n">
        <v>0</v>
      </c>
      <c r="O78" s="9" t="n">
        <v>0</v>
      </c>
      <c r="P78" s="7" t="inlineStr">
        <is>
          <t>90+</t>
        </is>
      </c>
      <c r="Q78" s="7" t="inlineStr">
        <is>
          <t>No</t>
        </is>
      </c>
      <c r="R78" s="10">
        <f>DATE(2026,9,23)-C78</f>
        <v/>
      </c>
    </row>
    <row r="79">
      <c r="A79" s="7" t="inlineStr">
        <is>
          <t>RP-1025</t>
        </is>
      </c>
      <c r="B79" s="7" t="inlineStr">
        <is>
          <t>P-2040</t>
        </is>
      </c>
      <c r="C79" s="8" t="n">
        <v>45901</v>
      </c>
      <c r="D79" s="8" t="n"/>
      <c r="E79" s="9" t="n">
        <v>17</v>
      </c>
      <c r="F79" s="9" t="n">
        <v>17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17</v>
      </c>
      <c r="L79" s="9" t="n">
        <v>0</v>
      </c>
      <c r="M79" s="9" t="n">
        <v>0</v>
      </c>
      <c r="N79" s="9" t="n">
        <v>0</v>
      </c>
      <c r="O79" s="9" t="n">
        <v>0</v>
      </c>
      <c r="P79" s="7" t="inlineStr">
        <is>
          <t>90+</t>
        </is>
      </c>
      <c r="Q79" s="7" t="inlineStr">
        <is>
          <t>No</t>
        </is>
      </c>
      <c r="R79" s="10">
        <f>DATE(2026,9,23)-C79</f>
        <v/>
      </c>
    </row>
    <row r="80">
      <c r="A80" s="7" t="inlineStr">
        <is>
          <t>RP-1040</t>
        </is>
      </c>
      <c r="B80" s="7" t="inlineStr">
        <is>
          <t>P-2062</t>
        </is>
      </c>
      <c r="C80" s="8" t="n">
        <v>46010</v>
      </c>
      <c r="D80" s="8" t="n"/>
      <c r="E80" s="9" t="n">
        <v>82</v>
      </c>
      <c r="F80" s="9" t="n">
        <v>82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82</v>
      </c>
      <c r="L80" s="9" t="n">
        <v>0</v>
      </c>
      <c r="M80" s="9" t="n">
        <v>0</v>
      </c>
      <c r="N80" s="9" t="n">
        <v>0</v>
      </c>
      <c r="O80" s="9" t="n">
        <v>0</v>
      </c>
      <c r="P80" s="7" t="inlineStr">
        <is>
          <t>90+</t>
        </is>
      </c>
      <c r="Q80" s="7" t="inlineStr">
        <is>
          <t>No</t>
        </is>
      </c>
      <c r="R80" s="10">
        <f>DATE(2026,9,23)-C80</f>
        <v/>
      </c>
    </row>
    <row r="81">
      <c r="A81" s="7" t="inlineStr">
        <is>
          <t>RP-1040</t>
        </is>
      </c>
      <c r="B81" s="7" t="inlineStr">
        <is>
          <t>P-2063</t>
        </is>
      </c>
      <c r="C81" s="8" t="n">
        <v>45938</v>
      </c>
      <c r="D81" s="8" t="n"/>
      <c r="E81" s="9" t="n">
        <v>50</v>
      </c>
      <c r="F81" s="9" t="n">
        <v>50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50</v>
      </c>
      <c r="L81" s="9" t="n">
        <v>0</v>
      </c>
      <c r="M81" s="9" t="n">
        <v>0</v>
      </c>
      <c r="N81" s="9" t="n">
        <v>0</v>
      </c>
      <c r="O81" s="9" t="n">
        <v>0</v>
      </c>
      <c r="P81" s="7" t="inlineStr">
        <is>
          <t>90+</t>
        </is>
      </c>
      <c r="Q81" s="7" t="inlineStr">
        <is>
          <t>No</t>
        </is>
      </c>
      <c r="R81" s="10">
        <f>DATE(2026,9,23)-C81</f>
        <v/>
      </c>
    </row>
    <row r="82">
      <c r="A82" s="7" t="inlineStr">
        <is>
          <t>RP-1041</t>
        </is>
      </c>
      <c r="B82" s="7" t="inlineStr">
        <is>
          <t>P-2064</t>
        </is>
      </c>
      <c r="C82" s="8" t="n">
        <v>45939</v>
      </c>
      <c r="D82" s="8" t="n"/>
      <c r="E82" s="9" t="n">
        <v>68.59999999999999</v>
      </c>
      <c r="F82" s="9" t="n">
        <v>68.59999999999999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68.59999999999999</v>
      </c>
      <c r="L82" s="9" t="n">
        <v>0</v>
      </c>
      <c r="M82" s="9" t="n">
        <v>0</v>
      </c>
      <c r="N82" s="9" t="n">
        <v>0</v>
      </c>
      <c r="O82" s="9" t="n">
        <v>0</v>
      </c>
      <c r="P82" s="7" t="inlineStr">
        <is>
          <t>90+</t>
        </is>
      </c>
      <c r="Q82" s="7" t="inlineStr">
        <is>
          <t>No</t>
        </is>
      </c>
      <c r="R82" s="10">
        <f>DATE(2026,9,23)-C82</f>
        <v/>
      </c>
    </row>
    <row r="83">
      <c r="A83" s="7" t="inlineStr">
        <is>
          <t>RP-1042</t>
        </is>
      </c>
      <c r="B83" s="7" t="inlineStr">
        <is>
          <t>P-2065</t>
        </is>
      </c>
      <c r="C83" s="8" t="n">
        <v>46058</v>
      </c>
      <c r="D83" s="8" t="n"/>
      <c r="E83" s="9" t="n">
        <v>68.59999999999999</v>
      </c>
      <c r="F83" s="9" t="n">
        <v>68.59999999999999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68.59999999999999</v>
      </c>
      <c r="L83" s="9" t="n">
        <v>0</v>
      </c>
      <c r="M83" s="9" t="n">
        <v>0</v>
      </c>
      <c r="N83" s="9" t="n">
        <v>0</v>
      </c>
      <c r="O83" s="9" t="n">
        <v>0</v>
      </c>
      <c r="P83" s="7" t="inlineStr">
        <is>
          <t>90+</t>
        </is>
      </c>
      <c r="Q83" s="7" t="inlineStr">
        <is>
          <t>No</t>
        </is>
      </c>
      <c r="R83" s="10">
        <f>DATE(2026,9,23)-C83</f>
        <v/>
      </c>
    </row>
    <row r="84">
      <c r="A84" s="7" t="inlineStr">
        <is>
          <t>RP-1043</t>
        </is>
      </c>
      <c r="B84" s="7" t="inlineStr">
        <is>
          <t>P-2066</t>
        </is>
      </c>
      <c r="C84" s="8" t="n">
        <v>45938</v>
      </c>
      <c r="D84" s="8" t="n"/>
      <c r="E84" s="9" t="n">
        <v>339</v>
      </c>
      <c r="F84" s="9" t="n">
        <v>339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339</v>
      </c>
      <c r="L84" s="9" t="n">
        <v>0</v>
      </c>
      <c r="M84" s="9" t="n">
        <v>0</v>
      </c>
      <c r="N84" s="9" t="n">
        <v>0</v>
      </c>
      <c r="O84" s="9" t="n">
        <v>0</v>
      </c>
      <c r="P84" s="7" t="inlineStr">
        <is>
          <t>90+</t>
        </is>
      </c>
      <c r="Q84" s="7" t="inlineStr">
        <is>
          <t>No</t>
        </is>
      </c>
      <c r="R84" s="10">
        <f>DATE(2026,9,23)-C84</f>
        <v/>
      </c>
    </row>
    <row r="85">
      <c r="A85" s="7" t="inlineStr">
        <is>
          <t>RP-1044</t>
        </is>
      </c>
      <c r="B85" s="7" t="inlineStr">
        <is>
          <t>P-2067</t>
        </is>
      </c>
      <c r="C85" s="8" t="n">
        <v>46005</v>
      </c>
      <c r="D85" s="8">
        <f>TODAY()+37</f>
        <v/>
      </c>
      <c r="E85" s="9" t="n">
        <v>208</v>
      </c>
      <c r="F85" s="9" t="n">
        <v>208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208</v>
      </c>
      <c r="L85" s="9" t="n">
        <v>0</v>
      </c>
      <c r="M85" s="9" t="n">
        <v>0</v>
      </c>
      <c r="N85" s="9" t="n">
        <v>0</v>
      </c>
      <c r="O85" s="9" t="n">
        <v>0</v>
      </c>
      <c r="P85" s="7" t="inlineStr">
        <is>
          <t>90+</t>
        </is>
      </c>
      <c r="Q85" s="7" t="inlineStr">
        <is>
          <t>Yes</t>
        </is>
      </c>
      <c r="R85" s="10">
        <f>DATE(2026,9,23)-C85</f>
        <v/>
      </c>
    </row>
    <row r="86">
      <c r="A86" s="7" t="inlineStr">
        <is>
          <t>RP-1045</t>
        </is>
      </c>
      <c r="B86" s="7" t="inlineStr">
        <is>
          <t>P-2068</t>
        </is>
      </c>
      <c r="C86" s="8" t="n">
        <v>45911</v>
      </c>
      <c r="D86" s="8" t="n"/>
      <c r="E86" s="9" t="n">
        <v>21.2</v>
      </c>
      <c r="F86" s="9" t="n">
        <v>21.2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21.2</v>
      </c>
      <c r="L86" s="9" t="n">
        <v>0</v>
      </c>
      <c r="M86" s="9" t="n">
        <v>0</v>
      </c>
      <c r="N86" s="9" t="n">
        <v>0</v>
      </c>
      <c r="O86" s="9" t="n">
        <v>0</v>
      </c>
      <c r="P86" s="7" t="inlineStr">
        <is>
          <t>90+</t>
        </is>
      </c>
      <c r="Q86" s="7" t="inlineStr">
        <is>
          <t>No</t>
        </is>
      </c>
      <c r="R86" s="10">
        <f>DATE(2026,9,23)-C86</f>
        <v/>
      </c>
    </row>
    <row r="87">
      <c r="A87" s="7" t="inlineStr">
        <is>
          <t>RP-1046</t>
        </is>
      </c>
      <c r="B87" s="7" t="inlineStr">
        <is>
          <t>P-2069</t>
        </is>
      </c>
      <c r="C87" s="8" t="n">
        <v>45896</v>
      </c>
      <c r="D87" s="8">
        <f>TODAY()+10</f>
        <v/>
      </c>
      <c r="E87" s="9" t="n">
        <v>10.5</v>
      </c>
      <c r="F87" s="9" t="n">
        <v>10.5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10.5</v>
      </c>
      <c r="L87" s="9" t="n">
        <v>0</v>
      </c>
      <c r="M87" s="9" t="n">
        <v>0</v>
      </c>
      <c r="N87" s="9" t="n">
        <v>0</v>
      </c>
      <c r="O87" s="9" t="n">
        <v>0</v>
      </c>
      <c r="P87" s="7" t="inlineStr">
        <is>
          <t>90+</t>
        </is>
      </c>
      <c r="Q87" s="7" t="inlineStr">
        <is>
          <t>Yes</t>
        </is>
      </c>
      <c r="R87" s="10">
        <f>DATE(2026,9,23)-C87</f>
        <v/>
      </c>
    </row>
    <row r="88">
      <c r="A88" s="7" t="inlineStr">
        <is>
          <t>RP-1047</t>
        </is>
      </c>
      <c r="B88" s="7" t="inlineStr">
        <is>
          <t>P-2070</t>
        </is>
      </c>
      <c r="C88" s="8" t="n">
        <v>45942</v>
      </c>
      <c r="D88" s="8" t="n"/>
      <c r="E88" s="9" t="n">
        <v>54</v>
      </c>
      <c r="F88" s="9" t="n">
        <v>54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54</v>
      </c>
      <c r="L88" s="9" t="n">
        <v>0</v>
      </c>
      <c r="M88" s="9" t="n">
        <v>0</v>
      </c>
      <c r="N88" s="9" t="n">
        <v>0</v>
      </c>
      <c r="O88" s="9" t="n">
        <v>0</v>
      </c>
      <c r="P88" s="7" t="inlineStr">
        <is>
          <t>90+</t>
        </is>
      </c>
      <c r="Q88" s="7" t="inlineStr">
        <is>
          <t>No</t>
        </is>
      </c>
      <c r="R88" s="10">
        <f>DATE(2026,9,23)-C88</f>
        <v/>
      </c>
    </row>
    <row r="89">
      <c r="A89" s="7" t="inlineStr">
        <is>
          <t>RP-1048</t>
        </is>
      </c>
      <c r="B89" s="7" t="inlineStr">
        <is>
          <t>P-2071</t>
        </is>
      </c>
      <c r="C89" s="8" t="n">
        <v>46046</v>
      </c>
      <c r="D89" s="8" t="n"/>
      <c r="E89" s="9" t="n">
        <v>22</v>
      </c>
      <c r="F89" s="9" t="n">
        <v>22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22</v>
      </c>
      <c r="L89" s="9" t="n">
        <v>0</v>
      </c>
      <c r="M89" s="9" t="n">
        <v>0</v>
      </c>
      <c r="N89" s="9" t="n">
        <v>0</v>
      </c>
      <c r="O89" s="9" t="n">
        <v>0</v>
      </c>
      <c r="P89" s="7" t="inlineStr">
        <is>
          <t>90+</t>
        </is>
      </c>
      <c r="Q89" s="7" t="inlineStr">
        <is>
          <t>No</t>
        </is>
      </c>
      <c r="R89" s="10">
        <f>DATE(2026,9,23)-C89</f>
        <v/>
      </c>
    </row>
    <row r="90">
      <c r="A90" s="7" t="inlineStr">
        <is>
          <t>RP-1048</t>
        </is>
      </c>
      <c r="B90" s="7" t="inlineStr">
        <is>
          <t>P-2072</t>
        </is>
      </c>
      <c r="C90" s="8" t="n">
        <v>46000</v>
      </c>
      <c r="D90" s="8" t="n"/>
      <c r="E90" s="9" t="n">
        <v>9.6</v>
      </c>
      <c r="F90" s="9" t="n">
        <v>9.6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9.6</v>
      </c>
      <c r="L90" s="9" t="n">
        <v>0</v>
      </c>
      <c r="M90" s="9" t="n">
        <v>0</v>
      </c>
      <c r="N90" s="9" t="n">
        <v>0</v>
      </c>
      <c r="O90" s="9" t="n">
        <v>0</v>
      </c>
      <c r="P90" s="7" t="inlineStr">
        <is>
          <t>90+</t>
        </is>
      </c>
      <c r="Q90" s="7" t="inlineStr">
        <is>
          <t>No</t>
        </is>
      </c>
      <c r="R90" s="10">
        <f>DATE(2026,9,23)-C90</f>
        <v/>
      </c>
    </row>
    <row r="91">
      <c r="A91" s="7" t="inlineStr">
        <is>
          <t>RP-1049</t>
        </is>
      </c>
      <c r="B91" s="7" t="inlineStr">
        <is>
          <t>P-2073</t>
        </is>
      </c>
      <c r="C91" s="8" t="n">
        <v>46074</v>
      </c>
      <c r="D91" s="8">
        <f>TODAY()+28</f>
        <v/>
      </c>
      <c r="E91" s="9" t="n">
        <v>21.2</v>
      </c>
      <c r="F91" s="9" t="n">
        <v>21.2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21.2</v>
      </c>
      <c r="L91" s="9" t="n">
        <v>0</v>
      </c>
      <c r="M91" s="9" t="n">
        <v>0</v>
      </c>
      <c r="N91" s="9" t="n">
        <v>0</v>
      </c>
      <c r="O91" s="9" t="n">
        <v>0</v>
      </c>
      <c r="P91" s="7" t="inlineStr">
        <is>
          <t>90+</t>
        </is>
      </c>
      <c r="Q91" s="7" t="inlineStr">
        <is>
          <t>Yes</t>
        </is>
      </c>
      <c r="R91" s="10">
        <f>DATE(2026,9,23)-C91</f>
        <v/>
      </c>
    </row>
    <row r="92">
      <c r="A92" s="7" t="inlineStr">
        <is>
          <t>RP-1050</t>
        </is>
      </c>
      <c r="B92" s="7" t="inlineStr">
        <is>
          <t>P-2074</t>
        </is>
      </c>
      <c r="C92" s="8" t="n">
        <v>46127</v>
      </c>
      <c r="D92" s="8" t="n"/>
      <c r="E92" s="9" t="n">
        <v>50</v>
      </c>
      <c r="F92" s="9" t="n">
        <v>50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50</v>
      </c>
      <c r="L92" s="9" t="n">
        <v>0</v>
      </c>
      <c r="M92" s="9" t="n">
        <v>0</v>
      </c>
      <c r="N92" s="9" t="n">
        <v>0</v>
      </c>
      <c r="O92" s="9" t="n">
        <v>0</v>
      </c>
      <c r="P92" s="7" t="inlineStr">
        <is>
          <t>90+</t>
        </is>
      </c>
      <c r="Q92" s="7" t="inlineStr">
        <is>
          <t>No</t>
        </is>
      </c>
      <c r="R92" s="10">
        <f>DATE(2026,9,23)-C92</f>
        <v/>
      </c>
    </row>
    <row r="93">
      <c r="A93" s="7" t="inlineStr">
        <is>
          <t>RP-1050</t>
        </is>
      </c>
      <c r="B93" s="7" t="inlineStr">
        <is>
          <t>P-2075</t>
        </is>
      </c>
      <c r="C93" s="8" t="n">
        <v>45899</v>
      </c>
      <c r="D93" s="8">
        <f>TODAY()+41</f>
        <v/>
      </c>
      <c r="E93" s="9" t="n">
        <v>117</v>
      </c>
      <c r="F93" s="9" t="n">
        <v>117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117</v>
      </c>
      <c r="L93" s="9" t="n">
        <v>0</v>
      </c>
      <c r="M93" s="9" t="n">
        <v>0</v>
      </c>
      <c r="N93" s="9" t="n">
        <v>0</v>
      </c>
      <c r="O93" s="9" t="n">
        <v>0</v>
      </c>
      <c r="P93" s="7" t="inlineStr">
        <is>
          <t>90+</t>
        </is>
      </c>
      <c r="Q93" s="7" t="inlineStr">
        <is>
          <t>Yes</t>
        </is>
      </c>
      <c r="R93" s="10">
        <f>DATE(2026,9,23)-C93</f>
        <v/>
      </c>
    </row>
    <row r="94">
      <c r="A94" s="7" t="inlineStr">
        <is>
          <t>RP-1050</t>
        </is>
      </c>
      <c r="B94" s="7" t="inlineStr">
        <is>
          <t>P-2076</t>
        </is>
      </c>
      <c r="C94" s="8" t="n">
        <v>46076</v>
      </c>
      <c r="D94" s="8">
        <f>TODAY()+14</f>
        <v/>
      </c>
      <c r="E94" s="9" t="n">
        <v>28.6</v>
      </c>
      <c r="F94" s="9" t="n">
        <v>28.6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28.6</v>
      </c>
      <c r="L94" s="9" t="n">
        <v>0</v>
      </c>
      <c r="M94" s="9" t="n">
        <v>0</v>
      </c>
      <c r="N94" s="9" t="n">
        <v>0</v>
      </c>
      <c r="O94" s="9" t="n">
        <v>0</v>
      </c>
      <c r="P94" s="7" t="inlineStr">
        <is>
          <t>90+</t>
        </is>
      </c>
      <c r="Q94" s="7" t="inlineStr">
        <is>
          <t>Yes</t>
        </is>
      </c>
      <c r="R94" s="10">
        <f>DATE(2026,9,23)-C94</f>
        <v/>
      </c>
    </row>
    <row r="95">
      <c r="A95" s="7" t="inlineStr">
        <is>
          <t>RP-1051</t>
        </is>
      </c>
      <c r="B95" s="7" t="inlineStr">
        <is>
          <t>P-2077</t>
        </is>
      </c>
      <c r="C95" s="8" t="n">
        <v>45997</v>
      </c>
      <c r="D95" s="8" t="n"/>
      <c r="E95" s="9" t="n">
        <v>14.2</v>
      </c>
      <c r="F95" s="9" t="n">
        <v>14.2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14.2</v>
      </c>
      <c r="L95" s="9" t="n">
        <v>0</v>
      </c>
      <c r="M95" s="9" t="n">
        <v>0</v>
      </c>
      <c r="N95" s="9" t="n">
        <v>0</v>
      </c>
      <c r="O95" s="9" t="n">
        <v>0</v>
      </c>
      <c r="P95" s="7" t="inlineStr">
        <is>
          <t>90+</t>
        </is>
      </c>
      <c r="Q95" s="7" t="inlineStr">
        <is>
          <t>No</t>
        </is>
      </c>
      <c r="R95" s="10">
        <f>DATE(2026,9,23)-C95</f>
        <v/>
      </c>
    </row>
    <row r="96">
      <c r="A96" s="7" t="inlineStr">
        <is>
          <t>RP-1052</t>
        </is>
      </c>
      <c r="B96" s="7" t="inlineStr">
        <is>
          <t>P-2078</t>
        </is>
      </c>
      <c r="C96" s="8" t="n">
        <v>46075</v>
      </c>
      <c r="D96" s="8" t="n"/>
      <c r="E96" s="9" t="n">
        <v>12</v>
      </c>
      <c r="F96" s="9" t="n">
        <v>12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12</v>
      </c>
      <c r="L96" s="9" t="n">
        <v>0</v>
      </c>
      <c r="M96" s="9" t="n">
        <v>0</v>
      </c>
      <c r="N96" s="9" t="n">
        <v>0</v>
      </c>
      <c r="O96" s="9" t="n">
        <v>0</v>
      </c>
      <c r="P96" s="7" t="inlineStr">
        <is>
          <t>90+</t>
        </is>
      </c>
      <c r="Q96" s="7" t="inlineStr">
        <is>
          <t>No</t>
        </is>
      </c>
      <c r="R96" s="10">
        <f>DATE(2026,9,23)-C96</f>
        <v/>
      </c>
    </row>
    <row r="97">
      <c r="A97" s="7" t="inlineStr">
        <is>
          <t>RP-1017</t>
        </is>
      </c>
      <c r="B97" s="7" t="inlineStr">
        <is>
          <t>P-2029</t>
        </is>
      </c>
      <c r="C97" s="8" t="n">
        <v>46067</v>
      </c>
      <c r="D97" s="8" t="n"/>
      <c r="E97" s="9" t="n">
        <v>311</v>
      </c>
      <c r="F97" s="9" t="n">
        <v>311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311</v>
      </c>
      <c r="L97" s="9" t="n">
        <v>0</v>
      </c>
      <c r="M97" s="9" t="n">
        <v>0</v>
      </c>
      <c r="N97" s="9" t="n">
        <v>0</v>
      </c>
      <c r="O97" s="9" t="n">
        <v>0</v>
      </c>
      <c r="P97" s="7" t="inlineStr">
        <is>
          <t>90+</t>
        </is>
      </c>
      <c r="Q97" s="7" t="inlineStr">
        <is>
          <t>No</t>
        </is>
      </c>
      <c r="R97" s="10">
        <f>DATE(2026,9,23)-C97</f>
        <v/>
      </c>
    </row>
    <row r="98">
      <c r="A98" s="7" t="inlineStr">
        <is>
          <t>RP-1053</t>
        </is>
      </c>
      <c r="B98" s="7" t="inlineStr">
        <is>
          <t>P-2079</t>
        </is>
      </c>
      <c r="C98" s="8" t="n">
        <v>45919</v>
      </c>
      <c r="D98" s="8" t="n"/>
      <c r="E98" s="9" t="n">
        <v>16</v>
      </c>
      <c r="F98" s="9" t="n">
        <v>16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16</v>
      </c>
      <c r="L98" s="9" t="n">
        <v>0</v>
      </c>
      <c r="M98" s="9" t="n">
        <v>0</v>
      </c>
      <c r="N98" s="9" t="n">
        <v>0</v>
      </c>
      <c r="O98" s="9" t="n">
        <v>0</v>
      </c>
      <c r="P98" s="7" t="inlineStr">
        <is>
          <t>90+</t>
        </is>
      </c>
      <c r="Q98" s="7" t="inlineStr">
        <is>
          <t>No</t>
        </is>
      </c>
      <c r="R98" s="10">
        <f>DATE(2026,9,23)-C98</f>
        <v/>
      </c>
    </row>
    <row r="99">
      <c r="A99" s="7" t="inlineStr">
        <is>
          <t>RP-1030</t>
        </is>
      </c>
      <c r="B99" s="7" t="inlineStr">
        <is>
          <t>P-2049</t>
        </is>
      </c>
      <c r="C99" s="8" t="n">
        <v>46165</v>
      </c>
      <c r="D99" s="8" t="n"/>
      <c r="E99" s="9" t="n">
        <v>396</v>
      </c>
      <c r="F99" s="9" t="n">
        <v>298</v>
      </c>
      <c r="G99" s="9" t="n">
        <v>98</v>
      </c>
      <c r="H99" s="9" t="n">
        <v>0</v>
      </c>
      <c r="I99" s="9" t="n">
        <v>0</v>
      </c>
      <c r="J99" s="9" t="n">
        <v>0</v>
      </c>
      <c r="K99" s="9" t="n">
        <v>298</v>
      </c>
      <c r="L99" s="9" t="n">
        <v>0</v>
      </c>
      <c r="M99" s="9" t="n">
        <v>0</v>
      </c>
      <c r="N99" s="9" t="n">
        <v>0</v>
      </c>
      <c r="O99" s="9" t="n">
        <v>98</v>
      </c>
      <c r="P99" s="7" t="inlineStr">
        <is>
          <t>90+</t>
        </is>
      </c>
      <c r="Q99" s="7" t="inlineStr">
        <is>
          <t>No</t>
        </is>
      </c>
      <c r="R99" s="10">
        <f>DATE(2026,9,23)-C99</f>
        <v/>
      </c>
    </row>
    <row r="100">
      <c r="A100" s="7" t="inlineStr">
        <is>
          <t>RP-1054</t>
        </is>
      </c>
      <c r="B100" s="7" t="inlineStr">
        <is>
          <t>P-2080</t>
        </is>
      </c>
      <c r="C100" s="8" t="n">
        <v>45960</v>
      </c>
      <c r="D100" s="8" t="n"/>
      <c r="E100" s="9" t="n">
        <v>42</v>
      </c>
      <c r="F100" s="9" t="n">
        <v>42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42</v>
      </c>
      <c r="L100" s="9" t="n">
        <v>0</v>
      </c>
      <c r="M100" s="9" t="n">
        <v>0</v>
      </c>
      <c r="N100" s="9" t="n">
        <v>0</v>
      </c>
      <c r="O100" s="9" t="n">
        <v>0</v>
      </c>
      <c r="P100" s="7" t="inlineStr">
        <is>
          <t>90+</t>
        </is>
      </c>
      <c r="Q100" s="7" t="inlineStr">
        <is>
          <t>No</t>
        </is>
      </c>
      <c r="R100" s="10">
        <f>DATE(2026,9,23)-C100</f>
        <v/>
      </c>
    </row>
    <row r="101">
      <c r="A101" s="7" t="inlineStr">
        <is>
          <t>RP-1055</t>
        </is>
      </c>
      <c r="B101" s="7" t="inlineStr">
        <is>
          <t>P-2081</t>
        </is>
      </c>
      <c r="C101" s="8" t="n">
        <v>46173</v>
      </c>
      <c r="D101" s="8">
        <f>TODAY()+64</f>
        <v/>
      </c>
      <c r="E101" s="9" t="n">
        <v>59.6</v>
      </c>
      <c r="F101" s="9" t="n">
        <v>59.6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59.6</v>
      </c>
      <c r="L101" s="9" t="n">
        <v>0</v>
      </c>
      <c r="M101" s="9" t="n">
        <v>0</v>
      </c>
      <c r="N101" s="9" t="n">
        <v>0</v>
      </c>
      <c r="O101" s="9" t="n">
        <v>0</v>
      </c>
      <c r="P101" s="7" t="inlineStr">
        <is>
          <t>90+</t>
        </is>
      </c>
      <c r="Q101" s="7" t="inlineStr">
        <is>
          <t>Yes</t>
        </is>
      </c>
      <c r="R101" s="10">
        <f>DATE(2026,9,23)-C101</f>
        <v/>
      </c>
    </row>
    <row r="102">
      <c r="A102" s="7" t="inlineStr">
        <is>
          <t>RP-1055</t>
        </is>
      </c>
      <c r="B102" s="7" t="inlineStr">
        <is>
          <t>P-2082</t>
        </is>
      </c>
      <c r="C102" s="8" t="n">
        <v>45934</v>
      </c>
      <c r="D102" s="8">
        <f>TODAY()+59</f>
        <v/>
      </c>
      <c r="E102" s="9" t="n">
        <v>1549</v>
      </c>
      <c r="F102" s="9" t="n">
        <v>1048</v>
      </c>
      <c r="G102" s="9" t="n">
        <v>501</v>
      </c>
      <c r="H102" s="9" t="n">
        <v>0</v>
      </c>
      <c r="I102" s="9" t="n">
        <v>0</v>
      </c>
      <c r="J102" s="9" t="n">
        <v>0</v>
      </c>
      <c r="K102" s="9" t="n">
        <v>1048</v>
      </c>
      <c r="L102" s="9" t="n">
        <v>0</v>
      </c>
      <c r="M102" s="9" t="n">
        <v>0</v>
      </c>
      <c r="N102" s="9" t="n">
        <v>0</v>
      </c>
      <c r="O102" s="9" t="n">
        <v>501</v>
      </c>
      <c r="P102" s="7" t="inlineStr">
        <is>
          <t>90+</t>
        </is>
      </c>
      <c r="Q102" s="7" t="inlineStr">
        <is>
          <t>Yes</t>
        </is>
      </c>
      <c r="R102" s="10">
        <f>DATE(2026,9,23)-C102</f>
        <v/>
      </c>
    </row>
    <row r="103">
      <c r="A103" s="7" t="inlineStr">
        <is>
          <t>RP-1055</t>
        </is>
      </c>
      <c r="B103" s="7" t="inlineStr">
        <is>
          <t>P-2083</t>
        </is>
      </c>
      <c r="C103" s="8" t="n">
        <v>46057</v>
      </c>
      <c r="D103" s="8" t="n"/>
      <c r="E103" s="9" t="n">
        <v>1127</v>
      </c>
      <c r="F103" s="9" t="n">
        <v>773</v>
      </c>
      <c r="G103" s="9" t="n">
        <v>354</v>
      </c>
      <c r="H103" s="9" t="n">
        <v>0</v>
      </c>
      <c r="I103" s="9" t="n">
        <v>0</v>
      </c>
      <c r="J103" s="9" t="n">
        <v>0</v>
      </c>
      <c r="K103" s="9" t="n">
        <v>773</v>
      </c>
      <c r="L103" s="9" t="n">
        <v>0</v>
      </c>
      <c r="M103" s="9" t="n">
        <v>0</v>
      </c>
      <c r="N103" s="9" t="n">
        <v>0</v>
      </c>
      <c r="O103" s="9" t="n">
        <v>354</v>
      </c>
      <c r="P103" s="7" t="inlineStr">
        <is>
          <t>90+</t>
        </is>
      </c>
      <c r="Q103" s="7" t="inlineStr">
        <is>
          <t>No</t>
        </is>
      </c>
      <c r="R103" s="10">
        <f>DATE(2026,9,23)-C103</f>
        <v/>
      </c>
    </row>
    <row r="104">
      <c r="A104" s="7" t="inlineStr">
        <is>
          <t>RP-1010</t>
        </is>
      </c>
      <c r="B104" s="7" t="inlineStr">
        <is>
          <t>P-2016</t>
        </is>
      </c>
      <c r="C104" s="8" t="n">
        <v>45984</v>
      </c>
      <c r="D104" s="8" t="n"/>
      <c r="E104" s="9" t="n">
        <v>59.6</v>
      </c>
      <c r="F104" s="9" t="n">
        <v>59.6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59.6</v>
      </c>
      <c r="L104" s="9" t="n">
        <v>0</v>
      </c>
      <c r="M104" s="9" t="n">
        <v>0</v>
      </c>
      <c r="N104" s="9" t="n">
        <v>0</v>
      </c>
      <c r="O104" s="9" t="n">
        <v>0</v>
      </c>
      <c r="P104" s="7" t="inlineStr">
        <is>
          <t>90+</t>
        </is>
      </c>
      <c r="Q104" s="7" t="inlineStr">
        <is>
          <t>No</t>
        </is>
      </c>
      <c r="R104" s="10">
        <f>DATE(2026,9,23)-C104</f>
        <v/>
      </c>
    </row>
    <row r="105">
      <c r="A105" s="7" t="inlineStr">
        <is>
          <t>RP-1056</t>
        </is>
      </c>
      <c r="B105" s="7" t="inlineStr">
        <is>
          <t>P-2084</t>
        </is>
      </c>
      <c r="C105" s="8" t="n">
        <v>45933</v>
      </c>
      <c r="D105" s="8">
        <f>TODAY()+66</f>
        <v/>
      </c>
      <c r="E105" s="9" t="n">
        <v>49.8</v>
      </c>
      <c r="F105" s="9" t="n">
        <v>49.8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49.8</v>
      </c>
      <c r="L105" s="9" t="n">
        <v>0</v>
      </c>
      <c r="M105" s="9" t="n">
        <v>0</v>
      </c>
      <c r="N105" s="9" t="n">
        <v>0</v>
      </c>
      <c r="O105" s="9" t="n">
        <v>0</v>
      </c>
      <c r="P105" s="7" t="inlineStr">
        <is>
          <t>90+</t>
        </is>
      </c>
      <c r="Q105" s="7" t="inlineStr">
        <is>
          <t>Yes</t>
        </is>
      </c>
      <c r="R105" s="10">
        <f>DATE(2026,9,23)-C105</f>
        <v/>
      </c>
    </row>
    <row r="106">
      <c r="A106" s="7" t="inlineStr">
        <is>
          <t>RP-1057</t>
        </is>
      </c>
      <c r="B106" s="7" t="inlineStr">
        <is>
          <t>P-2085</t>
        </is>
      </c>
      <c r="C106" s="8" t="n">
        <v>46071</v>
      </c>
      <c r="D106" s="8">
        <f>TODAY()+47</f>
        <v/>
      </c>
      <c r="E106" s="9" t="n">
        <v>21.8</v>
      </c>
      <c r="F106" s="9" t="n">
        <v>21.8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21.8</v>
      </c>
      <c r="L106" s="9" t="n">
        <v>0</v>
      </c>
      <c r="M106" s="9" t="n">
        <v>0</v>
      </c>
      <c r="N106" s="9" t="n">
        <v>0</v>
      </c>
      <c r="O106" s="9" t="n">
        <v>0</v>
      </c>
      <c r="P106" s="7" t="inlineStr">
        <is>
          <t>90+</t>
        </is>
      </c>
      <c r="Q106" s="7" t="inlineStr">
        <is>
          <t>Yes</t>
        </is>
      </c>
      <c r="R106" s="10">
        <f>DATE(2026,9,23)-C106</f>
        <v/>
      </c>
    </row>
    <row r="107">
      <c r="A107" s="7" t="inlineStr">
        <is>
          <t>RP-1057</t>
        </is>
      </c>
      <c r="B107" s="7" t="inlineStr">
        <is>
          <t>P-2086</t>
        </is>
      </c>
      <c r="C107" s="8" t="n">
        <v>46069</v>
      </c>
      <c r="D107" s="8" t="n"/>
      <c r="E107" s="9" t="n">
        <v>9</v>
      </c>
      <c r="F107" s="9" t="n">
        <v>9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9</v>
      </c>
      <c r="L107" s="9" t="n">
        <v>0</v>
      </c>
      <c r="M107" s="9" t="n">
        <v>0</v>
      </c>
      <c r="N107" s="9" t="n">
        <v>0</v>
      </c>
      <c r="O107" s="9" t="n">
        <v>0</v>
      </c>
      <c r="P107" s="7" t="inlineStr">
        <is>
          <t>90+</t>
        </is>
      </c>
      <c r="Q107" s="7" t="inlineStr">
        <is>
          <t>No</t>
        </is>
      </c>
      <c r="R107" s="10">
        <f>DATE(2026,9,23)-C107</f>
        <v/>
      </c>
    </row>
    <row r="108">
      <c r="A108" s="7" t="inlineStr">
        <is>
          <t>RP-1058</t>
        </is>
      </c>
      <c r="B108" s="7" t="inlineStr">
        <is>
          <t>P-2087</t>
        </is>
      </c>
      <c r="C108" s="8" t="n">
        <v>46136</v>
      </c>
      <c r="D108" s="8">
        <f>TODAY()+63</f>
        <v/>
      </c>
      <c r="E108" s="9" t="n">
        <v>30</v>
      </c>
      <c r="F108" s="9" t="n">
        <v>30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30</v>
      </c>
      <c r="L108" s="9" t="n">
        <v>0</v>
      </c>
      <c r="M108" s="9" t="n">
        <v>0</v>
      </c>
      <c r="N108" s="9" t="n">
        <v>0</v>
      </c>
      <c r="O108" s="9" t="n">
        <v>0</v>
      </c>
      <c r="P108" s="7" t="inlineStr">
        <is>
          <t>90+</t>
        </is>
      </c>
      <c r="Q108" s="7" t="inlineStr">
        <is>
          <t>Yes</t>
        </is>
      </c>
      <c r="R108" s="10">
        <f>DATE(2026,9,23)-C108</f>
        <v/>
      </c>
    </row>
    <row r="109">
      <c r="A109" s="7" t="inlineStr">
        <is>
          <t>RP-1058</t>
        </is>
      </c>
      <c r="B109" s="7" t="inlineStr">
        <is>
          <t>P-2088</t>
        </is>
      </c>
      <c r="C109" s="8" t="n">
        <v>46080</v>
      </c>
      <c r="D109" s="8">
        <f>TODAY()+15</f>
        <v/>
      </c>
      <c r="E109" s="9" t="n">
        <v>51</v>
      </c>
      <c r="F109" s="9" t="n">
        <v>51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51</v>
      </c>
      <c r="L109" s="9" t="n">
        <v>0</v>
      </c>
      <c r="M109" s="9" t="n">
        <v>0</v>
      </c>
      <c r="N109" s="9" t="n">
        <v>0</v>
      </c>
      <c r="O109" s="9" t="n">
        <v>0</v>
      </c>
      <c r="P109" s="7" t="inlineStr">
        <is>
          <t>90+</t>
        </is>
      </c>
      <c r="Q109" s="7" t="inlineStr">
        <is>
          <t>Yes</t>
        </is>
      </c>
      <c r="R109" s="10">
        <f>DATE(2026,9,23)-C109</f>
        <v/>
      </c>
    </row>
    <row r="110">
      <c r="A110" s="7" t="inlineStr">
        <is>
          <t>RP-1058</t>
        </is>
      </c>
      <c r="B110" s="7" t="inlineStr">
        <is>
          <t>P-2089</t>
        </is>
      </c>
      <c r="C110" s="8" t="n">
        <v>46174</v>
      </c>
      <c r="D110" s="8">
        <f>TODAY()+11</f>
        <v/>
      </c>
      <c r="E110" s="9" t="n">
        <v>69</v>
      </c>
      <c r="F110" s="9" t="n">
        <v>69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69</v>
      </c>
      <c r="L110" s="9" t="n">
        <v>0</v>
      </c>
      <c r="M110" s="9" t="n">
        <v>0</v>
      </c>
      <c r="N110" s="9" t="n">
        <v>0</v>
      </c>
      <c r="O110" s="9" t="n">
        <v>0</v>
      </c>
      <c r="P110" s="7" t="inlineStr">
        <is>
          <t>90+</t>
        </is>
      </c>
      <c r="Q110" s="7" t="inlineStr">
        <is>
          <t>Yes</t>
        </is>
      </c>
      <c r="R110" s="10">
        <f>DATE(2026,9,23)-C110</f>
        <v/>
      </c>
    </row>
    <row r="111">
      <c r="A111" s="7" t="inlineStr">
        <is>
          <t>RP-1059</t>
        </is>
      </c>
      <c r="B111" s="7" t="inlineStr">
        <is>
          <t>P-2090</t>
        </is>
      </c>
      <c r="C111" s="8" t="n">
        <v>45994</v>
      </c>
      <c r="D111" s="8">
        <f>TODAY()+13</f>
        <v/>
      </c>
      <c r="E111" s="9" t="n">
        <v>27.5</v>
      </c>
      <c r="F111" s="9" t="n">
        <v>27.5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27.5</v>
      </c>
      <c r="L111" s="9" t="n">
        <v>0</v>
      </c>
      <c r="M111" s="9" t="n">
        <v>0</v>
      </c>
      <c r="N111" s="9" t="n">
        <v>0</v>
      </c>
      <c r="O111" s="9" t="n">
        <v>0</v>
      </c>
      <c r="P111" s="7" t="inlineStr">
        <is>
          <t>90+</t>
        </is>
      </c>
      <c r="Q111" s="7" t="inlineStr">
        <is>
          <t>Yes</t>
        </is>
      </c>
      <c r="R111" s="10">
        <f>DATE(2026,9,23)-C111</f>
        <v/>
      </c>
    </row>
  </sheetData>
  <autoFilter ref="A1:R111"/>
  <conditionalFormatting sqref="K2:K111">
    <cfRule type="expression" priority="1" dxfId="0">
      <formula>K2&gt;0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94BEF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11" t="inlineStr">
        <is>
          <t>Calculation tables</t>
        </is>
      </c>
    </row>
    <row r="3">
      <c r="A3" s="12" t="inlineStr">
        <is>
          <t>Headline</t>
        </is>
      </c>
    </row>
    <row r="4">
      <c r="A4" s="13" t="inlineStr">
        <is>
          <t>Accounts</t>
        </is>
      </c>
      <c r="B4">
        <f>COUNTA(Ledger!B2:B111)</f>
        <v/>
      </c>
    </row>
    <row r="5">
      <c r="A5" s="13" t="inlineStr">
        <is>
          <t>Total owing</t>
        </is>
      </c>
      <c r="B5" s="14">
        <f>SUM(Ledger!E2:E111)</f>
        <v/>
      </c>
    </row>
    <row r="6">
      <c r="A6" s="13" t="inlineStr">
        <is>
          <t>Patient owing</t>
        </is>
      </c>
      <c r="B6" s="14">
        <f>SUM(Ledger!F2:F111)</f>
        <v/>
      </c>
    </row>
    <row r="7">
      <c r="A7" s="13" t="inlineStr">
        <is>
          <t>Insurance owing</t>
        </is>
      </c>
      <c r="B7" s="14">
        <f>SUM(Ledger!G2:G111)</f>
        <v/>
      </c>
    </row>
    <row r="8">
      <c r="A8" s="13" t="inlineStr">
        <is>
          <t>Patient share of open</t>
        </is>
      </c>
      <c r="B8" s="15">
        <f>IF(B5=0,0,B6/B5)</f>
        <v/>
      </c>
    </row>
    <row r="9">
      <c r="A9" s="13" t="inlineStr">
        <is>
          <t>Patient over 90</t>
        </is>
      </c>
      <c r="B9" s="14">
        <f>SUM(Ledger!K2:K111)</f>
        <v/>
      </c>
    </row>
    <row r="10">
      <c r="A10" s="13" t="inlineStr">
        <is>
          <t>90+ share of patient $</t>
        </is>
      </c>
      <c r="B10" s="15">
        <f>IF(B6=0,0,B9/B6)</f>
        <v/>
      </c>
    </row>
    <row r="11">
      <c r="A11" s="13" t="inlineStr">
        <is>
          <t>90+ accounts (patient $ &gt; 0)</t>
        </is>
      </c>
      <c r="B11">
        <f>COUNTIF(Ledger!K2:K111,"&gt;0")</f>
        <v/>
      </c>
    </row>
    <row r="12">
      <c r="A12" s="13" t="inlineStr">
        <is>
          <t>90+ with no next appointment</t>
        </is>
      </c>
      <c r="B12">
        <f>COUNTIFS(Ledger!K2:K111,"&gt;0",Ledger!Q2:Q111,"No")</f>
        <v/>
      </c>
    </row>
    <row r="13">
      <c r="A13" s="13" t="inlineStr">
        <is>
          <t>Unique responsible parties</t>
        </is>
      </c>
      <c r="B13" s="16">
        <f>SUMPRODUCT(1/COUNTIF(Ledger!A2:A111,Ledger!A2:A111))</f>
        <v/>
      </c>
    </row>
    <row r="15">
      <c r="A15" s="12" t="inlineStr">
        <is>
          <t>Aging mix — dollars</t>
        </is>
      </c>
    </row>
    <row r="16" ht="32" customHeight="1">
      <c r="A16" s="6" t="inlineStr">
        <is>
          <t>Bucket</t>
        </is>
      </c>
      <c r="B16" s="6" t="inlineStr">
        <is>
          <t>Patient $</t>
        </is>
      </c>
      <c r="C16" s="6" t="inlineStr">
        <is>
          <t>Insurance $</t>
        </is>
      </c>
      <c r="D16" s="6" t="inlineStr">
        <is>
          <t>Total $</t>
        </is>
      </c>
      <c r="E16" s="6" t="inlineStr">
        <is>
          <t>Share</t>
        </is>
      </c>
    </row>
    <row r="17">
      <c r="A17" t="inlineStr">
        <is>
          <t>0–30</t>
        </is>
      </c>
      <c r="B17" s="14">
        <f>SUM(Ledger!H2:H111)</f>
        <v/>
      </c>
      <c r="C17" s="14">
        <f>SUM(Ledger!L2:L111)</f>
        <v/>
      </c>
      <c r="D17" s="14">
        <f>B17+C17</f>
        <v/>
      </c>
      <c r="E17" s="15">
        <f>IF($D$21=0,0,D17/$D$21)</f>
        <v/>
      </c>
    </row>
    <row r="18">
      <c r="A18" t="inlineStr">
        <is>
          <t>31–60</t>
        </is>
      </c>
      <c r="B18" s="14">
        <f>SUM(Ledger!I2:I111)</f>
        <v/>
      </c>
      <c r="C18" s="14">
        <f>SUM(Ledger!M2:M111)</f>
        <v/>
      </c>
      <c r="D18" s="14">
        <f>B18+C18</f>
        <v/>
      </c>
      <c r="E18" s="15">
        <f>IF($D$21=0,0,D18/$D$21)</f>
        <v/>
      </c>
    </row>
    <row r="19">
      <c r="A19" t="inlineStr">
        <is>
          <t>61–90</t>
        </is>
      </c>
      <c r="B19" s="14">
        <f>SUM(Ledger!J2:J111)</f>
        <v/>
      </c>
      <c r="C19" s="14">
        <f>SUM(Ledger!N2:N111)</f>
        <v/>
      </c>
      <c r="D19" s="14">
        <f>B19+C19</f>
        <v/>
      </c>
      <c r="E19" s="15">
        <f>IF($D$21=0,0,D19/$D$21)</f>
        <v/>
      </c>
    </row>
    <row r="20">
      <c r="A20" t="inlineStr">
        <is>
          <t>90+</t>
        </is>
      </c>
      <c r="B20" s="14">
        <f>SUM(Ledger!K2:K111)</f>
        <v/>
      </c>
      <c r="C20" s="14">
        <f>SUM(Ledger!O2:O111)</f>
        <v/>
      </c>
      <c r="D20" s="14">
        <f>B20+C20</f>
        <v/>
      </c>
      <c r="E20" s="15">
        <f>IF($D$21=0,0,D20/$D$21)</f>
        <v/>
      </c>
    </row>
    <row r="21">
      <c r="A21" s="13" t="inlineStr">
        <is>
          <t>Total</t>
        </is>
      </c>
      <c r="B21" s="17">
        <f>SUM(B17:B20)</f>
        <v/>
      </c>
      <c r="C21" s="17">
        <f>SUM(C17:C20)</f>
        <v/>
      </c>
      <c r="D21" s="17">
        <f>SUM(D17:D20)</f>
        <v/>
      </c>
      <c r="E21" s="18">
        <f>SUM(E17:E20)</f>
        <v/>
      </c>
    </row>
    <row r="23">
      <c r="A23" s="12" t="inlineStr">
        <is>
          <t>Huddle flags</t>
        </is>
      </c>
    </row>
    <row r="24">
      <c r="A24" t="inlineStr">
        <is>
          <t>Patient 90+ and no next appointment (work first)</t>
        </is>
      </c>
      <c r="B24">
        <f>B12</f>
        <v/>
      </c>
    </row>
    <row r="25">
      <c r="A25" t="inlineStr">
        <is>
          <t>Open $ on those accounts</t>
        </is>
      </c>
      <c r="B25" s="14">
        <f>SUMIFS(Ledger!E2:E111,Ledger!K2:K111,"&gt;0",Ledger!Q2:Q111,"No")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8CF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22" customWidth="1" min="5" max="5"/>
  </cols>
  <sheetData>
    <row r="1">
      <c r="A1" s="11" t="inlineStr">
        <is>
          <t>Pivot — aging bucket × patient vs insurance</t>
        </is>
      </c>
    </row>
    <row r="2">
      <c r="A2" t="inlineStr">
        <is>
          <t>Live SUMIFS off Ledger. Change a dollar on Ledger and this sheet moves.</t>
        </is>
      </c>
    </row>
    <row r="4" ht="32" customHeight="1">
      <c r="A4" s="6" t="inlineStr">
        <is>
          <t>Primary bucket</t>
        </is>
      </c>
      <c r="B4" s="6" t="inlineStr">
        <is>
          <t>Patient $</t>
        </is>
      </c>
      <c r="C4" s="6" t="inlineStr">
        <is>
          <t>Insurance $</t>
        </is>
      </c>
      <c r="D4" s="6" t="inlineStr">
        <is>
          <t>Accounts</t>
        </is>
      </c>
      <c r="E4" s="6" t="inlineStr">
        <is>
          <t>No next appointment</t>
        </is>
      </c>
    </row>
    <row r="5">
      <c r="A5" t="inlineStr">
        <is>
          <t>0–30</t>
        </is>
      </c>
      <c r="B5" s="14">
        <f>SUMIF(Ledger!P:P,A5,Ledger!F:F)</f>
        <v/>
      </c>
      <c r="C5" s="14">
        <f>SUMIF(Ledger!P:P,A5,Ledger!G:G)</f>
        <v/>
      </c>
      <c r="D5">
        <f>COUNTIF(Ledger!P:P,A5)</f>
        <v/>
      </c>
      <c r="E5">
        <f>COUNTIFS(Ledger!P:P,A5,Ledger!Q:Q,"No")</f>
        <v/>
      </c>
    </row>
    <row r="6">
      <c r="A6" t="inlineStr">
        <is>
          <t>31–60</t>
        </is>
      </c>
      <c r="B6" s="14">
        <f>SUMIF(Ledger!P:P,A6,Ledger!F:F)</f>
        <v/>
      </c>
      <c r="C6" s="14">
        <f>SUMIF(Ledger!P:P,A6,Ledger!G:G)</f>
        <v/>
      </c>
      <c r="D6">
        <f>COUNTIF(Ledger!P:P,A6)</f>
        <v/>
      </c>
      <c r="E6">
        <f>COUNTIFS(Ledger!P:P,A6,Ledger!Q:Q,"No")</f>
        <v/>
      </c>
    </row>
    <row r="7">
      <c r="A7" t="inlineStr">
        <is>
          <t>61–90</t>
        </is>
      </c>
      <c r="B7" s="14">
        <f>SUMIF(Ledger!P:P,A7,Ledger!F:F)</f>
        <v/>
      </c>
      <c r="C7" s="14">
        <f>SUMIF(Ledger!P:P,A7,Ledger!G:G)</f>
        <v/>
      </c>
      <c r="D7">
        <f>COUNTIF(Ledger!P:P,A7)</f>
        <v/>
      </c>
      <c r="E7">
        <f>COUNTIFS(Ledger!P:P,A7,Ledger!Q:Q,"No")</f>
        <v/>
      </c>
    </row>
    <row r="8">
      <c r="A8" t="inlineStr">
        <is>
          <t>90+</t>
        </is>
      </c>
      <c r="B8" s="14">
        <f>SUMIF(Ledger!P:P,A8,Ledger!F:F)</f>
        <v/>
      </c>
      <c r="C8" s="14">
        <f>SUMIF(Ledger!P:P,A8,Ledger!G:G)</f>
        <v/>
      </c>
      <c r="D8">
        <f>COUNTIF(Ledger!P:P,A8)</f>
        <v/>
      </c>
      <c r="E8">
        <f>COUNTIFS(Ledger!P:P,A8,Ledger!Q:Q,"No")</f>
        <v/>
      </c>
    </row>
    <row r="9">
      <c r="A9" s="13" t="inlineStr">
        <is>
          <t>Total</t>
        </is>
      </c>
      <c r="B9" s="17">
        <f>SUM(B5:B8)</f>
        <v/>
      </c>
      <c r="C9" s="17">
        <f>SUM(C5:C8)</f>
        <v/>
      </c>
      <c r="D9" s="13">
        <f>SUM(D5:D8)</f>
        <v/>
      </c>
      <c r="E9" s="13">
        <f>SUM(E5:E8)</f>
        <v/>
      </c>
    </row>
    <row r="11">
      <c r="A11" s="12" t="inlineStr">
        <is>
          <t>Pivot — responsible party (open $ ≥ $200)</t>
        </is>
      </c>
    </row>
    <row r="12">
      <c r="A12" t="inlineStr">
        <is>
          <t>Filter this table in Excel (Data → Filter) or insert a PivotTable from ARLedger.</t>
        </is>
      </c>
    </row>
    <row r="13" ht="32" customHeight="1">
      <c r="A13" s="6" t="inlineStr">
        <is>
          <t>Responsible Party Patient ID</t>
        </is>
      </c>
      <c r="B13" s="6" t="inlineStr">
        <is>
          <t>Total owing</t>
        </is>
      </c>
      <c r="C13" s="6" t="inlineStr">
        <is>
          <t>Patient $</t>
        </is>
      </c>
      <c r="D13" s="6" t="inlineStr">
        <is>
          <t>Insurance $</t>
        </is>
      </c>
    </row>
    <row r="14">
      <c r="A14" t="inlineStr">
        <is>
          <t>RP-1030</t>
        </is>
      </c>
      <c r="B14" s="14">
        <f>SUMIF(Ledger!A:A,A14,Ledger!E:E)</f>
        <v/>
      </c>
      <c r="C14" s="14">
        <f>SUMIF(Ledger!A:A,A14,Ledger!F:F)</f>
        <v/>
      </c>
      <c r="D14" s="14">
        <f>SUMIF(Ledger!A:A,A14,Ledger!G:G)</f>
        <v/>
      </c>
    </row>
    <row r="15">
      <c r="A15" t="inlineStr">
        <is>
          <t>RP-1038</t>
        </is>
      </c>
      <c r="B15" s="14">
        <f>SUMIF(Ledger!A:A,A15,Ledger!E:E)</f>
        <v/>
      </c>
      <c r="C15" s="14">
        <f>SUMIF(Ledger!A:A,A15,Ledger!F:F)</f>
        <v/>
      </c>
      <c r="D15" s="14">
        <f>SUMIF(Ledger!A:A,A15,Ledger!G:G)</f>
        <v/>
      </c>
    </row>
    <row r="16">
      <c r="A16" t="inlineStr">
        <is>
          <t>RP-1055</t>
        </is>
      </c>
      <c r="B16" s="14">
        <f>SUMIF(Ledger!A:A,A16,Ledger!E:E)</f>
        <v/>
      </c>
      <c r="C16" s="14">
        <f>SUMIF(Ledger!A:A,A16,Ledger!F:F)</f>
        <v/>
      </c>
      <c r="D16" s="14">
        <f>SUMIF(Ledger!A:A,A16,Ledger!G:G)</f>
        <v/>
      </c>
    </row>
    <row r="17">
      <c r="A17" t="inlineStr">
        <is>
          <t>RP-1019</t>
        </is>
      </c>
      <c r="B17" s="14">
        <f>SUMIF(Ledger!A:A,A17,Ledger!E:E)</f>
        <v/>
      </c>
      <c r="C17" s="14">
        <f>SUMIF(Ledger!A:A,A17,Ledger!F:F)</f>
        <v/>
      </c>
      <c r="D17" s="14">
        <f>SUMIF(Ledger!A:A,A17,Ledger!G:G)</f>
        <v/>
      </c>
    </row>
    <row r="18">
      <c r="A18" t="inlineStr">
        <is>
          <t>RP-1015</t>
        </is>
      </c>
      <c r="B18" s="14">
        <f>SUMIF(Ledger!A:A,A18,Ledger!E:E)</f>
        <v/>
      </c>
      <c r="C18" s="14">
        <f>SUMIF(Ledger!A:A,A18,Ledger!F:F)</f>
        <v/>
      </c>
      <c r="D18" s="14">
        <f>SUMIF(Ledger!A:A,A18,Ledger!G:G)</f>
        <v/>
      </c>
    </row>
    <row r="19">
      <c r="A19" t="inlineStr">
        <is>
          <t>RP-1023</t>
        </is>
      </c>
      <c r="B19" s="14">
        <f>SUMIF(Ledger!A:A,A19,Ledger!E:E)</f>
        <v/>
      </c>
      <c r="C19" s="14">
        <f>SUMIF(Ledger!A:A,A19,Ledger!F:F)</f>
        <v/>
      </c>
      <c r="D19" s="14">
        <f>SUMIF(Ledger!A:A,A19,Ledger!G:G)</f>
        <v/>
      </c>
    </row>
    <row r="20">
      <c r="A20" t="inlineStr">
        <is>
          <t>RP-1027</t>
        </is>
      </c>
      <c r="B20" s="14">
        <f>SUMIF(Ledger!A:A,A20,Ledger!E:E)</f>
        <v/>
      </c>
      <c r="C20" s="14">
        <f>SUMIF(Ledger!A:A,A20,Ledger!F:F)</f>
        <v/>
      </c>
      <c r="D20" s="14">
        <f>SUMIF(Ledger!A:A,A20,Ledger!G:G)</f>
        <v/>
      </c>
    </row>
    <row r="21">
      <c r="A21" t="inlineStr">
        <is>
          <t>RP-1005</t>
        </is>
      </c>
      <c r="B21" s="14">
        <f>SUMIF(Ledger!A:A,A21,Ledger!E:E)</f>
        <v/>
      </c>
      <c r="C21" s="14">
        <f>SUMIF(Ledger!A:A,A21,Ledger!F:F)</f>
        <v/>
      </c>
      <c r="D21" s="14">
        <f>SUMIF(Ledger!A:A,A21,Ledger!G:G)</f>
        <v/>
      </c>
    </row>
    <row r="22">
      <c r="A22" t="inlineStr">
        <is>
          <t>RP-1009</t>
        </is>
      </c>
      <c r="B22" s="14">
        <f>SUMIF(Ledger!A:A,A22,Ledger!E:E)</f>
        <v/>
      </c>
      <c r="C22" s="14">
        <f>SUMIF(Ledger!A:A,A22,Ledger!F:F)</f>
        <v/>
      </c>
      <c r="D22" s="14">
        <f>SUMIF(Ledger!A:A,A22,Ledger!G:G)</f>
        <v/>
      </c>
    </row>
    <row r="23">
      <c r="A23" t="inlineStr">
        <is>
          <t>RP-1017</t>
        </is>
      </c>
      <c r="B23" s="14">
        <f>SUMIF(Ledger!A:A,A23,Ledger!E:E)</f>
        <v/>
      </c>
      <c r="C23" s="14">
        <f>SUMIF(Ledger!A:A,A23,Ledger!F:F)</f>
        <v/>
      </c>
      <c r="D23" s="14">
        <f>SUMIF(Ledger!A:A,A23,Ledger!G:G)</f>
        <v/>
      </c>
    </row>
    <row r="24">
      <c r="A24" t="inlineStr">
        <is>
          <t>RP-1007</t>
        </is>
      </c>
      <c r="B24" s="14">
        <f>SUMIF(Ledger!A:A,A24,Ledger!E:E)</f>
        <v/>
      </c>
      <c r="C24" s="14">
        <f>SUMIF(Ledger!A:A,A24,Ledger!F:F)</f>
        <v/>
      </c>
      <c r="D24" s="14">
        <f>SUMIF(Ledger!A:A,A24,Ledger!G:G)</f>
        <v/>
      </c>
    </row>
    <row r="25">
      <c r="A25" t="inlineStr">
        <is>
          <t>RP-1043</t>
        </is>
      </c>
      <c r="B25" s="14">
        <f>SUMIF(Ledger!A:A,A25,Ledger!E:E)</f>
        <v/>
      </c>
      <c r="C25" s="14">
        <f>SUMIF(Ledger!A:A,A25,Ledger!F:F)</f>
        <v/>
      </c>
      <c r="D25" s="14">
        <f>SUMIF(Ledger!A:A,A25,Ledger!G:G)</f>
        <v/>
      </c>
    </row>
    <row r="26">
      <c r="A26" t="inlineStr">
        <is>
          <t>RP-1036</t>
        </is>
      </c>
      <c r="B26" s="14">
        <f>SUMIF(Ledger!A:A,A26,Ledger!E:E)</f>
        <v/>
      </c>
      <c r="C26" s="14">
        <f>SUMIF(Ledger!A:A,A26,Ledger!F:F)</f>
        <v/>
      </c>
      <c r="D26" s="14">
        <f>SUMIF(Ledger!A:A,A26,Ledger!G:G)</f>
        <v/>
      </c>
    </row>
    <row r="27">
      <c r="A27" t="inlineStr">
        <is>
          <t>RP-1026</t>
        </is>
      </c>
      <c r="B27" s="14">
        <f>SUMIF(Ledger!A:A,A27,Ledger!E:E)</f>
        <v/>
      </c>
      <c r="C27" s="14">
        <f>SUMIF(Ledger!A:A,A27,Ledger!F:F)</f>
        <v/>
      </c>
      <c r="D27" s="14">
        <f>SUMIF(Ledger!A:A,A27,Ledger!G:G)</f>
        <v/>
      </c>
    </row>
    <row r="28">
      <c r="A28" t="inlineStr">
        <is>
          <t>RP-1012</t>
        </is>
      </c>
      <c r="B28" s="14">
        <f>SUMIF(Ledger!A:A,A28,Ledger!E:E)</f>
        <v/>
      </c>
      <c r="C28" s="14">
        <f>SUMIF(Ledger!A:A,A28,Ledger!F:F)</f>
        <v/>
      </c>
      <c r="D28" s="14">
        <f>SUMIF(Ledger!A:A,A28,Ledger!G:G)</f>
        <v/>
      </c>
    </row>
    <row r="30">
      <c r="A30" s="11" t="inlineStr">
        <is>
          <t>Next appointment</t>
        </is>
      </c>
    </row>
    <row r="31" ht="32" customHeight="1">
      <c r="A31" s="6" t="inlineStr">
        <is>
          <t>Status</t>
        </is>
      </c>
      <c r="B31" s="6" t="inlineStr">
        <is>
          <t>Patients</t>
        </is>
      </c>
      <c r="C31" s="6" t="inlineStr">
        <is>
          <t>Open $</t>
        </is>
      </c>
      <c r="D31" s="6" t="inlineStr">
        <is>
          <t>Share</t>
        </is>
      </c>
    </row>
    <row r="32">
      <c r="A32" t="inlineStr">
        <is>
          <t>Scheduled</t>
        </is>
      </c>
      <c r="B32">
        <f>COUNTIF(Ledger!Q2:Q111,"Yes")</f>
        <v/>
      </c>
      <c r="C32" s="14">
        <f>SUMIF(Ledger!Q2:Q111,"Yes",Ledger!E2:E111)</f>
        <v/>
      </c>
      <c r="D32" s="15">
        <f>IF($B$34=0,0,B32/$B$34)</f>
        <v/>
      </c>
    </row>
    <row r="33">
      <c r="A33" t="inlineStr">
        <is>
          <t>Not scheduled</t>
        </is>
      </c>
      <c r="B33">
        <f>COUNTIF(Ledger!Q2:Q111,"No")</f>
        <v/>
      </c>
      <c r="C33" s="14">
        <f>SUMIF(Ledger!Q2:Q111,"No",Ledger!E2:E111)</f>
        <v/>
      </c>
      <c r="D33" s="15">
        <f>IF($B$34=0,0,B33/$B$34)</f>
        <v/>
      </c>
    </row>
    <row r="34">
      <c r="A34" s="13" t="inlineStr">
        <is>
          <t>Total</t>
        </is>
      </c>
      <c r="B34" s="13">
        <f>SUM(B32:B33)</f>
        <v/>
      </c>
      <c r="C34" s="17">
        <f>SUM(C32:C33)</f>
        <v/>
      </c>
      <c r="D34" s="18">
        <f>SUM(D32:D33)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2026-10-15T21:24:51Z</dcterms:created>
  <dcterms:modified xmlns:dcterms="http://purl.org/dc/terms/" xmlns:xsi="http://www.w3.org/2001/XMLSchema-instance" xsi:type="dcterms:W3CDTF">2026-10-15T21:24:51Z</dcterms:modified>
</cp:coreProperties>
</file>