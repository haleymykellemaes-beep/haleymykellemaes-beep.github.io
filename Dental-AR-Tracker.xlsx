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R Ledger" sheetId="3" state="visible" r:id="rId3"/>
    <sheet xmlns:r="http://schemas.openxmlformats.org/officeDocument/2006/relationships" name="Lists" sheetId="4" state="hidden" r:id="rId4"/>
    <sheet xmlns:r="http://schemas.openxmlformats.org/officeDocument/2006/relationships" name="Follow-up queue" sheetId="5" state="visible" r:id="rId5"/>
  </sheets>
  <definedNames>
    <definedName name="_xlnm.Print_Area" localSheetId="1">'Dashboard'!$A$1:$F$38</definedName>
    <definedName name="_xlnm._FilterDatabase" localSheetId="2" hidden="1">'AR Ledger'!$A$1:$X$26</definedName>
    <definedName name="_xlnm.Print_Titles" localSheetId="2">'AR Ledger'!$1:$1</definedName>
    <definedName name="_xlnm._FilterDatabase" localSheetId="4" hidden="1">'Follow-up queue'!$A$4:$H$29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&quot;$&quot;#,##0.00"/>
    <numFmt numFmtId="167" formatCode="&quot;$&quot;#,##0"/>
    <numFmt numFmtId="168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4EFE6"/>
      <sz val="10"/>
    </font>
    <font>
      <name val="Calibri"/>
      <color rgb="000A0A0A"/>
      <sz val="10"/>
    </font>
    <font>
      <name val="Cambria"/>
      <b val="1"/>
      <color rgb="000A0A0A"/>
      <sz val="22"/>
    </font>
    <font>
      <name val="Calibri"/>
      <i val="1"/>
      <color rgb="008A8378"/>
      <sz val="11"/>
    </font>
    <font>
      <name val="Calibri"/>
      <b val="1"/>
      <color rgb="008A8378"/>
      <sz val="9"/>
    </font>
    <font>
      <name val="Cambria"/>
      <b val="1"/>
      <color rgb="000A0A0A"/>
      <sz val="14"/>
    </font>
    <font>
      <name val="Calibri"/>
      <color rgb="000A0A0A"/>
      <sz val="11"/>
    </font>
    <font>
      <name val="Cambria"/>
      <b val="1"/>
      <color rgb="008B2E2E"/>
      <sz val="22"/>
    </font>
    <font>
      <name val="Cambria"/>
      <b val="1"/>
      <color rgb="000A0A0A"/>
      <sz val="18"/>
    </font>
    <font>
      <name val="Cambria"/>
      <b val="1"/>
      <color rgb="000A0A0A"/>
      <sz val="26"/>
    </font>
    <font>
      <name val="Calibri"/>
      <i val="1"/>
      <color rgb="008A8378"/>
      <sz val="12"/>
    </font>
    <font>
      <name val="Calibri"/>
      <color rgb="000A0A0A"/>
      <sz val="12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BF8F3"/>
      </patternFill>
    </fill>
    <fill>
      <patternFill patternType="solid">
        <fgColor rgb="00F4EFE6"/>
      </patternFill>
    </fill>
  </fills>
  <borders count="2">
    <border>
      <left/>
      <right/>
      <top/>
      <bottom/>
      <diagonal/>
    </border>
    <border>
      <left style="thin">
        <color rgb="00D8D0C4"/>
      </left>
      <right style="thin">
        <color rgb="00D8D0C4"/>
      </right>
      <top style="thin">
        <color rgb="00D8D0C4"/>
      </top>
      <bottom style="thin">
        <color rgb="00D8D0C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1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7" fontId="3" fillId="4" borderId="0" applyAlignment="1" pivotButton="0" quotePrefix="0" xfId="0">
      <alignment horizontal="left"/>
    </xf>
    <xf numFmtId="3" fontId="3" fillId="4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0" fontId="7" fillId="0" borderId="1" pivotButton="0" quotePrefix="0" xfId="0"/>
    <xf numFmtId="166" fontId="7" fillId="0" borderId="1" applyAlignment="1" pivotButton="0" quotePrefix="0" xfId="0">
      <alignment horizontal="right"/>
    </xf>
    <xf numFmtId="168" fontId="7" fillId="0" borderId="1" pivotButton="0" quotePrefix="0" xfId="0"/>
    <xf numFmtId="0" fontId="0" fillId="0" borderId="1" pivotButton="0" quotePrefix="0" xfId="0"/>
    <xf numFmtId="166" fontId="0" fillId="0" borderId="1" applyAlignment="1" pivotButton="0" quotePrefix="0" xfId="0">
      <alignment horizontal="right"/>
    </xf>
    <xf numFmtId="168" fontId="8" fillId="0" borderId="0" pivotButton="0" quotePrefix="0" xfId="0"/>
    <xf numFmtId="0" fontId="7" fillId="0" borderId="0" pivotButton="0" quotePrefix="0" xfId="0"/>
    <xf numFmtId="0" fontId="2" fillId="3" borderId="1" pivotButton="0" quotePrefix="0" xfId="0"/>
    <xf numFmtId="165" fontId="2" fillId="3" borderId="1" pivotButton="0" quotePrefix="0" xfId="0"/>
    <xf numFmtId="166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9" fillId="0" borderId="0" pivotButton="0" quotePrefix="0" xfId="0"/>
    <xf numFmtId="166" fontId="0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dxfs count="2">
    <dxf>
      <font>
        <name val="Calibri"/>
        <b val="1"/>
        <color rgb="008B2E2E"/>
        <sz val="10"/>
      </font>
      <fill>
        <patternFill patternType="solid">
          <fgColor rgb="00F3D6D6"/>
        </patternFill>
      </fill>
    </dxf>
    <dxf>
      <font>
        <name val="Calibri"/>
        <color rgb="007A5A10"/>
        <sz val="10"/>
      </font>
      <fill>
        <patternFill patternType="solid">
          <fgColor rgb="00F7E6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'Dashboard'!$B$13:$B$16</f>
            </numRef>
          </cat>
          <val>
            <numRef>
              <f>'Dashboard'!$C$13:$C$16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4A574"/>
    <outlinePr summaryBelow="1" summaryRight="1"/>
    <pageSetUpPr fitToPage="1"/>
  </sheetPr>
  <dimension ref="B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How to use this tracker</t>
        </is>
      </c>
    </row>
    <row r="3">
      <c r="B3" s="2" t="inlineStr">
        <is>
          <t>Built for a dental operations analyst  ·  Excel tables, not a PMS replacement</t>
        </is>
      </c>
    </row>
    <row r="5">
      <c r="B5" s="3" t="inlineStr">
        <is>
          <t>What this is</t>
        </is>
      </c>
    </row>
    <row r="6">
      <c r="B6" s="4" t="inlineStr">
        <is>
          <t>A working A/R book you can run every morning: open insurance vs patient dollars, aging, and a follow-up list. Dashboard numbers are live formulas against AR Ledger.</t>
        </is>
      </c>
    </row>
    <row r="7"/>
    <row r="9">
      <c r="B9" s="3" t="inlineStr">
        <is>
          <t>What you type</t>
        </is>
      </c>
    </row>
    <row r="10">
      <c r="B10" s="4" t="inlineStr">
        <is>
          <t>On AR Ledger: claim, patient ID (not full name in a shared file), dates, CDT, payer, charge, payments, adjustments, status, next follow-up, owner, notes. Dropdowns sit on Location, Payer, Balance type, Status, and Owner.</t>
        </is>
      </c>
    </row>
    <row r="11"/>
    <row r="13">
      <c r="B13" s="3" t="inlineStr">
        <is>
          <t>What you never type over</t>
        </is>
      </c>
    </row>
    <row r="14">
      <c r="B14" s="4" t="inlineStr">
        <is>
          <t>Balance (Charge − insurance paid − patient paid − adjustment), Age in days from Date billed, Aging bucket, and Needs follow-up (Yes when a balance remains and follow-up date is today or earlier).</t>
        </is>
      </c>
    </row>
    <row r="15"/>
    <row r="17">
      <c r="B17" s="3" t="inlineStr">
        <is>
          <t>Daily rhythm</t>
        </is>
      </c>
    </row>
    <row r="18">
      <c r="B18" s="4" t="inlineStr">
        <is>
          <t>Open Dashboard → work Follow-up queue → touch the ledger (payment, status, or a new follow-up date). 90+ and denied claims get the first hour. Patient A/R after insurance posts.</t>
        </is>
      </c>
    </row>
    <row r="19"/>
    <row r="21">
      <c r="B21" s="3" t="inlineStr">
        <is>
          <t>From your PMS</t>
        </is>
      </c>
    </row>
    <row r="22">
      <c r="B22" s="4" t="inlineStr">
        <is>
          <t>Export claims with DOS, billed date, payer, charges, and payments. Paste values into columns A–N and R–V. Restore the formulas in O–Q and W if a paste wipes them (copy row 2 down).</t>
        </is>
      </c>
    </row>
    <row r="23"/>
    <row r="25">
      <c r="B25" s="3" t="inlineStr">
        <is>
          <t>Privacy</t>
        </is>
      </c>
    </row>
    <row r="26">
      <c r="B26" s="4" t="inlineStr">
        <is>
          <t>Sample rows use Patient ID P-#### and last-initial names. Keep real PHI in the PMS or a locked store. Do not email this file with live patient names.</t>
        </is>
      </c>
    </row>
    <row r="27"/>
  </sheetData>
  <mergeCells count="7">
    <mergeCell ref="B22:F23"/>
    <mergeCell ref="B2:F2"/>
    <mergeCell ref="B10:F11"/>
    <mergeCell ref="B26:F27"/>
    <mergeCell ref="B6:F7"/>
    <mergeCell ref="B14:F15"/>
    <mergeCell ref="B18:F19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tabColor rgb="000A0A0A"/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32" customHeight="1">
      <c r="A1" s="5" t="inlineStr">
        <is>
          <t>DENTAL ACCOUNTS RECEIVABLE</t>
        </is>
      </c>
    </row>
    <row r="2">
      <c r="A2" s="6" t="inlineStr">
        <is>
          <t>Operations tracker  ·  sample data as of 22 Sep 2026  ·  replace the ledger, keep the formulas</t>
        </is>
      </c>
    </row>
    <row r="3">
      <c r="B3" s="7" t="inlineStr">
        <is>
          <t>Total open A/R</t>
        </is>
      </c>
      <c r="D3" s="7" t="inlineStr">
        <is>
          <t>Insurance A/R</t>
        </is>
      </c>
      <c r="F3" s="7" t="inlineStr">
        <is>
          <t>Patient A/R</t>
        </is>
      </c>
    </row>
    <row r="4" ht="32" customHeight="1">
      <c r="B4" s="8">
        <f>SUMIF('AR Ledger'!O:O,"&gt;0",'AR Ledger'!O:O)</f>
        <v/>
      </c>
      <c r="D4" s="8">
        <f>SUMIFS('AR Ledger'!O:O,'AR Ledger'!R:R,"Insurance",'AR Ledger'!O:O,"&gt;0")</f>
        <v/>
      </c>
      <c r="F4" s="8">
        <f>SUMIFS('AR Ledger'!O:O,'AR Ledger'!R:R,"Patient",'AR Ledger'!O:O,"&gt;0")</f>
        <v/>
      </c>
    </row>
    <row r="7">
      <c r="B7" s="7" t="inlineStr">
        <is>
          <t>Open claims</t>
        </is>
      </c>
      <c r="D7" s="7" t="inlineStr">
        <is>
          <t>Follow-ups due</t>
        </is>
      </c>
      <c r="F7" s="7" t="inlineStr">
        <is>
          <t>90+ days $</t>
        </is>
      </c>
    </row>
    <row r="8" ht="32" customHeight="1">
      <c r="B8" s="9">
        <f>COUNTIF('AR Ledger'!O:O,"&gt;0")</f>
        <v/>
      </c>
      <c r="D8" s="9">
        <f>COUNTIF('AR Ledger'!W:W,"Yes")</f>
        <v/>
      </c>
      <c r="F8" s="8">
        <f>SUMIF('AR Ledger'!Q:Q,"90+",'AR Ledger'!O:O)</f>
        <v/>
      </c>
    </row>
    <row r="11">
      <c r="B11" s="3" t="inlineStr">
        <is>
          <t>Aging of open balances</t>
        </is>
      </c>
      <c r="E11" s="3" t="inlineStr">
        <is>
          <t>Open $ by payer</t>
        </is>
      </c>
    </row>
    <row r="12" ht="28" customHeight="1">
      <c r="A12" s="10" t="inlineStr"/>
      <c r="B12" s="10" t="inlineStr">
        <is>
          <t>Bucket</t>
        </is>
      </c>
      <c r="C12" s="10" t="inlineStr">
        <is>
          <t>Open $</t>
        </is>
      </c>
      <c r="D12" s="10" t="inlineStr">
        <is>
          <t>% of A/R</t>
        </is>
      </c>
      <c r="E12" s="10" t="inlineStr">
        <is>
          <t>Payer</t>
        </is>
      </c>
      <c r="F12" s="10" t="inlineStr">
        <is>
          <t>Open $</t>
        </is>
      </c>
    </row>
    <row r="13">
      <c r="B13" s="11" t="inlineStr">
        <is>
          <t>0–30</t>
        </is>
      </c>
      <c r="C13" s="12">
        <f>SUMIF('AR Ledger'!Q:Q,B13,'AR Ledger'!O:O)</f>
        <v/>
      </c>
      <c r="D13" s="13">
        <f>IF(B4=0,0,C13/B4)</f>
        <v/>
      </c>
      <c r="E13" s="14" t="inlineStr">
        <is>
          <t>Delta Dental</t>
        </is>
      </c>
      <c r="F13" s="15">
        <f>SUMIFS('AR Ledger'!O:O,'AR Ledger'!J:J,E13,'AR Ledger'!O:O,"&gt;0")</f>
        <v/>
      </c>
    </row>
    <row r="14">
      <c r="B14" s="11" t="inlineStr">
        <is>
          <t>31–60</t>
        </is>
      </c>
      <c r="C14" s="12">
        <f>SUMIF('AR Ledger'!Q:Q,B14,'AR Ledger'!O:O)</f>
        <v/>
      </c>
      <c r="D14" s="13">
        <f>IF(B4=0,0,C14/B4)</f>
        <v/>
      </c>
      <c r="E14" s="14" t="inlineStr">
        <is>
          <t>MetLife</t>
        </is>
      </c>
      <c r="F14" s="15">
        <f>SUMIFS('AR Ledger'!O:O,'AR Ledger'!J:J,E14,'AR Ledger'!O:O,"&gt;0")</f>
        <v/>
      </c>
    </row>
    <row r="15">
      <c r="B15" s="11" t="inlineStr">
        <is>
          <t>61–90</t>
        </is>
      </c>
      <c r="C15" s="12">
        <f>SUMIF('AR Ledger'!Q:Q,B15,'AR Ledger'!O:O)</f>
        <v/>
      </c>
      <c r="D15" s="13">
        <f>IF(B4=0,0,C15/B4)</f>
        <v/>
      </c>
      <c r="E15" s="14" t="inlineStr">
        <is>
          <t>Aetna</t>
        </is>
      </c>
      <c r="F15" s="15">
        <f>SUMIFS('AR Ledger'!O:O,'AR Ledger'!J:J,E15,'AR Ledger'!O:O,"&gt;0")</f>
        <v/>
      </c>
    </row>
    <row r="16">
      <c r="B16" s="11" t="inlineStr">
        <is>
          <t>90+</t>
        </is>
      </c>
      <c r="C16" s="12">
        <f>SUMIF('AR Ledger'!Q:Q,B16,'AR Ledger'!O:O)</f>
        <v/>
      </c>
      <c r="D16" s="13">
        <f>IF(B4=0,0,C16/B4)</f>
        <v/>
      </c>
      <c r="E16" s="14" t="inlineStr">
        <is>
          <t>Cigna</t>
        </is>
      </c>
      <c r="F16" s="15">
        <f>SUMIFS('AR Ledger'!O:O,'AR Ledger'!J:J,E16,'AR Ledger'!O:O,"&gt;0")</f>
        <v/>
      </c>
    </row>
    <row r="17">
      <c r="E17" s="14" t="inlineStr">
        <is>
          <t>Guardian</t>
        </is>
      </c>
      <c r="F17" s="15">
        <f>SUMIFS('AR Ledger'!O:O,'AR Ledger'!J:J,E17,'AR Ledger'!O:O,"&gt;0")</f>
        <v/>
      </c>
    </row>
    <row r="18">
      <c r="B18" s="7" t="inlineStr">
        <is>
          <t>90+ as % of open A/R</t>
        </is>
      </c>
      <c r="E18" s="14" t="inlineStr">
        <is>
          <t>Medicaid</t>
        </is>
      </c>
      <c r="F18" s="15">
        <f>SUMIFS('AR Ledger'!O:O,'AR Ledger'!J:J,E18,'AR Ledger'!O:O,"&gt;0")</f>
        <v/>
      </c>
    </row>
    <row r="19">
      <c r="B19" s="16">
        <f>IF(B4=0,0,F8/B4)</f>
        <v/>
      </c>
      <c r="E19" s="14" t="inlineStr">
        <is>
          <t>Self-pay</t>
        </is>
      </c>
      <c r="F19" s="15">
        <f>SUMIFS('AR Ledger'!O:O,'AR Ledger'!J:J,E19,'AR Ledger'!O:O,"&gt;0")</f>
        <v/>
      </c>
    </row>
    <row r="32">
      <c r="B32" s="3" t="inlineStr">
        <is>
          <t>How to run this on Monday</t>
        </is>
      </c>
    </row>
    <row r="33" ht="18" customHeight="1">
      <c r="B33" s="17" t="inlineStr">
        <is>
          <t>1. Paste or enter new claims on AR Ledger. Do not type over columns O–Q or W — those are formulas.</t>
        </is>
      </c>
    </row>
    <row r="34" ht="18" customHeight="1">
      <c r="B34" s="17" t="inlineStr">
        <is>
          <t>2. Set Next follow-up when you touch a claim. Dashboard “Follow-ups due” counts rows where that date is today or past and a balance remains.</t>
        </is>
      </c>
    </row>
    <row r="35" ht="18" customHeight="1">
      <c r="B35" s="17" t="inlineStr">
        <is>
          <t>3. Filter Aging bucket = 90+ and Status not closed. That is the money at risk of write-off or collections.</t>
        </is>
      </c>
    </row>
    <row r="36" ht="18" customHeight="1">
      <c r="B36" s="17" t="inlineStr">
        <is>
          <t>4. Split Insurance vs Patient A/R before the huddle. Insurance work is payer calls; patient work is statements and plans.</t>
        </is>
      </c>
    </row>
    <row r="37" ht="18" customHeight="1">
      <c r="B37" s="17" t="inlineStr">
        <is>
          <t>5. When a claim pays, enter Insurance paid / Patient paid / Adjustment. Balance drops to $0 and aging goes to —.</t>
        </is>
      </c>
    </row>
    <row r="38" ht="18" customHeight="1">
      <c r="B38" s="17" t="inlineStr">
        <is>
          <t>Sample patients are de-identified (P-####). Do not put real names or full member IDs in a shared file.</t>
        </is>
      </c>
    </row>
  </sheetData>
  <mergeCells count="22">
    <mergeCell ref="F4:G4"/>
    <mergeCell ref="B7:C7"/>
    <mergeCell ref="B3:C3"/>
    <mergeCell ref="F7:G7"/>
    <mergeCell ref="F3:G3"/>
    <mergeCell ref="A2:F2"/>
    <mergeCell ref="B11:C11"/>
    <mergeCell ref="B8:C8"/>
    <mergeCell ref="F8:G8"/>
    <mergeCell ref="D7:E7"/>
    <mergeCell ref="B38:F38"/>
    <mergeCell ref="B34:F34"/>
    <mergeCell ref="E11:F11"/>
    <mergeCell ref="B37:F37"/>
    <mergeCell ref="D4:E4"/>
    <mergeCell ref="D3:E3"/>
    <mergeCell ref="D8:E8"/>
    <mergeCell ref="B33:F33"/>
    <mergeCell ref="A1:F1"/>
    <mergeCell ref="B36:F36"/>
    <mergeCell ref="B4:C4"/>
    <mergeCell ref="B35:F35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B2E2E"/>
    <outlinePr summaryBelow="1" summaryRight="1"/>
    <pageSetUpPr fitToPage="1"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26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  <col width="12" customWidth="1" min="15" max="15"/>
    <col width="11" customWidth="1" min="16" max="16"/>
    <col width="13" customWidth="1" min="17" max="17"/>
    <col width="13" customWidth="1" min="18" max="18"/>
    <col width="26" customWidth="1" min="19" max="19"/>
    <col width="22" customWidth="1" min="20" max="20"/>
    <col width="14" customWidth="1" min="21" max="21"/>
    <col width="12" customWidth="1" min="22" max="22"/>
    <col width="15" customWidth="1" min="23" max="23"/>
    <col width="36" customWidth="1" min="24" max="24"/>
  </cols>
  <sheetData>
    <row r="1" ht="28" customHeight="1">
      <c r="A1" s="10" t="inlineStr">
        <is>
          <t>Claim ID</t>
        </is>
      </c>
      <c r="B1" s="10" t="inlineStr">
        <is>
          <t>Patient ID</t>
        </is>
      </c>
      <c r="C1" s="10" t="inlineStr">
        <is>
          <t>Patient (de-identified)</t>
        </is>
      </c>
      <c r="D1" s="10" t="inlineStr">
        <is>
          <t>Provider</t>
        </is>
      </c>
      <c r="E1" s="10" t="inlineStr">
        <is>
          <t>Location</t>
        </is>
      </c>
      <c r="F1" s="10" t="inlineStr">
        <is>
          <t>DOS</t>
        </is>
      </c>
      <c r="G1" s="10" t="inlineStr">
        <is>
          <t>Date billed</t>
        </is>
      </c>
      <c r="H1" s="10" t="inlineStr">
        <is>
          <t>CDT</t>
        </is>
      </c>
      <c r="I1" s="10" t="inlineStr">
        <is>
          <t>Description</t>
        </is>
      </c>
      <c r="J1" s="10" t="inlineStr">
        <is>
          <t>Payer</t>
        </is>
      </c>
      <c r="K1" s="10" t="inlineStr">
        <is>
          <t>Charge</t>
        </is>
      </c>
      <c r="L1" s="10" t="inlineStr">
        <is>
          <t>Insurance paid</t>
        </is>
      </c>
      <c r="M1" s="10" t="inlineStr">
        <is>
          <t>Patient paid</t>
        </is>
      </c>
      <c r="N1" s="10" t="inlineStr">
        <is>
          <t>Adjustment</t>
        </is>
      </c>
      <c r="O1" s="10" t="inlineStr">
        <is>
          <t>Balance</t>
        </is>
      </c>
      <c r="P1" s="10" t="inlineStr">
        <is>
          <t>Age (days)</t>
        </is>
      </c>
      <c r="Q1" s="10" t="inlineStr">
        <is>
          <t>Aging bucket</t>
        </is>
      </c>
      <c r="R1" s="10" t="inlineStr">
        <is>
          <t>Balance type</t>
        </is>
      </c>
      <c r="S1" s="10" t="inlineStr">
        <is>
          <t>Status</t>
        </is>
      </c>
      <c r="T1" s="10" t="inlineStr">
        <is>
          <t>Denial / hold reason</t>
        </is>
      </c>
      <c r="U1" s="10" t="inlineStr">
        <is>
          <t>Next follow-up</t>
        </is>
      </c>
      <c r="V1" s="10" t="inlineStr">
        <is>
          <t>Owner</t>
        </is>
      </c>
      <c r="W1" s="10" t="inlineStr">
        <is>
          <t>Needs follow-up</t>
        </is>
      </c>
      <c r="X1" s="10" t="inlineStr">
        <is>
          <t>Notes</t>
        </is>
      </c>
    </row>
    <row r="2">
      <c r="A2" s="18" t="inlineStr">
        <is>
          <t>CL-10421</t>
        </is>
      </c>
      <c r="B2" s="18" t="inlineStr">
        <is>
          <t>P-1008</t>
        </is>
      </c>
      <c r="C2" s="18" t="inlineStr">
        <is>
          <t>Rivera, A.</t>
        </is>
      </c>
      <c r="D2" s="18" t="inlineStr">
        <is>
          <t>Dr. Chen</t>
        </is>
      </c>
      <c r="E2" s="18" t="inlineStr">
        <is>
          <t>Main</t>
        </is>
      </c>
      <c r="F2" s="19" t="n">
        <v>46275</v>
      </c>
      <c r="G2" s="19" t="n">
        <v>46277</v>
      </c>
      <c r="H2" s="18" t="inlineStr">
        <is>
          <t>D0120</t>
        </is>
      </c>
      <c r="I2" s="18" t="inlineStr">
        <is>
          <t>Periodic oral eval</t>
        </is>
      </c>
      <c r="J2" s="18" t="inlineStr">
        <is>
          <t>Delta Dental</t>
        </is>
      </c>
      <c r="K2" s="20" t="n">
        <v>68</v>
      </c>
      <c r="L2" s="20" t="n">
        <v>0</v>
      </c>
      <c r="M2" s="20" t="n">
        <v>0</v>
      </c>
      <c r="N2" s="20" t="n">
        <v>0</v>
      </c>
      <c r="O2" s="20">
        <f>MAX(0,K2-L2-M2-N2)</f>
        <v/>
      </c>
      <c r="P2" s="21">
        <f>IF(G2="","",TODAY()-G2)</f>
        <v/>
      </c>
      <c r="Q2" s="18">
        <f>IF(O2=0,"—",IF(P2&lt;=30,"0–30",IF(P2&lt;=60,"31–60",IF(P2&lt;=90,"61–90","90+"))))</f>
        <v/>
      </c>
      <c r="R2" s="18" t="inlineStr">
        <is>
          <t>Insurance</t>
        </is>
      </c>
      <c r="S2" s="18" t="inlineStr">
        <is>
          <t>Pending insurance</t>
        </is>
      </c>
      <c r="T2" s="18" t="inlineStr"/>
      <c r="U2" s="19" t="n">
        <v>46292</v>
      </c>
      <c r="V2" s="18" t="inlineStr">
        <is>
          <t>Haley</t>
        </is>
      </c>
      <c r="W2" s="18">
        <f>IF(AND(O2&gt;0,U2&lt;&gt;"",U2&lt;=TODAY()),"Yes","No")</f>
        <v/>
      </c>
      <c r="X2" s="18" t="inlineStr">
        <is>
          <t>Awaiting ERA</t>
        </is>
      </c>
    </row>
    <row r="3">
      <c r="A3" s="22" t="inlineStr">
        <is>
          <t>CL-10422</t>
        </is>
      </c>
      <c r="B3" s="22" t="inlineStr">
        <is>
          <t>P-1014</t>
        </is>
      </c>
      <c r="C3" s="22" t="inlineStr">
        <is>
          <t>Nguyen, T.</t>
        </is>
      </c>
      <c r="D3" s="22" t="inlineStr">
        <is>
          <t>Dr. Patel</t>
        </is>
      </c>
      <c r="E3" s="22" t="inlineStr">
        <is>
          <t>Main</t>
        </is>
      </c>
      <c r="F3" s="23" t="n">
        <v>46269</v>
      </c>
      <c r="G3" s="23" t="n">
        <v>46271</v>
      </c>
      <c r="H3" s="22" t="inlineStr">
        <is>
          <t>D1110</t>
        </is>
      </c>
      <c r="I3" s="22" t="inlineStr">
        <is>
          <t>Adult prophylaxis</t>
        </is>
      </c>
      <c r="J3" s="22" t="inlineStr">
        <is>
          <t>MetLife</t>
        </is>
      </c>
      <c r="K3" s="24" t="n">
        <v>124</v>
      </c>
      <c r="L3" s="24" t="n">
        <v>86</v>
      </c>
      <c r="M3" s="24" t="n">
        <v>0</v>
      </c>
      <c r="N3" s="24" t="n">
        <v>0</v>
      </c>
      <c r="O3" s="24">
        <f>MAX(0,K3-L3-M3-N3)</f>
        <v/>
      </c>
      <c r="P3" s="25">
        <f>IF(G3="","",TODAY()-G3)</f>
        <v/>
      </c>
      <c r="Q3" s="22">
        <f>IF(O3=0,"—",IF(P3&lt;=30,"0–30",IF(P3&lt;=60,"31–60",IF(P3&lt;=90,"61–90","90+"))))</f>
        <v/>
      </c>
      <c r="R3" s="22" t="inlineStr">
        <is>
          <t>Patient</t>
        </is>
      </c>
      <c r="S3" s="22" t="inlineStr">
        <is>
          <t>Patient billed</t>
        </is>
      </c>
      <c r="T3" s="22" t="inlineStr"/>
      <c r="U3" s="23" t="n">
        <v>46289</v>
      </c>
      <c r="V3" s="22" t="inlineStr">
        <is>
          <t>Haley</t>
        </is>
      </c>
      <c r="W3" s="22">
        <f>IF(AND(O3&gt;0,U3&lt;&gt;"",U3&lt;=TODAY()),"Yes","No")</f>
        <v/>
      </c>
      <c r="X3" s="22" t="inlineStr">
        <is>
          <t>EOB posted; $38 patient</t>
        </is>
      </c>
    </row>
    <row r="4">
      <c r="A4" s="18" t="inlineStr">
        <is>
          <t>CL-10408</t>
        </is>
      </c>
      <c r="B4" s="18" t="inlineStr">
        <is>
          <t>P-1022</t>
        </is>
      </c>
      <c r="C4" s="18" t="inlineStr">
        <is>
          <t>Brooks, J.</t>
        </is>
      </c>
      <c r="D4" s="18" t="inlineStr">
        <is>
          <t>Dr. Chen</t>
        </is>
      </c>
      <c r="E4" s="18" t="inlineStr">
        <is>
          <t>North</t>
        </is>
      </c>
      <c r="F4" s="19" t="n">
        <v>46246</v>
      </c>
      <c r="G4" s="19" t="n">
        <v>46249</v>
      </c>
      <c r="H4" s="18" t="inlineStr">
        <is>
          <t>D2391</t>
        </is>
      </c>
      <c r="I4" s="18" t="inlineStr">
        <is>
          <t>Resin 1 surface post.</t>
        </is>
      </c>
      <c r="J4" s="18" t="inlineStr">
        <is>
          <t>Aetna</t>
        </is>
      </c>
      <c r="K4" s="20" t="n">
        <v>215</v>
      </c>
      <c r="L4" s="20" t="n">
        <v>0</v>
      </c>
      <c r="M4" s="20" t="n">
        <v>0</v>
      </c>
      <c r="N4" s="20" t="n">
        <v>0</v>
      </c>
      <c r="O4" s="20">
        <f>MAX(0,K4-L4-M4-N4)</f>
        <v/>
      </c>
      <c r="P4" s="21">
        <f>IF(G4="","",TODAY()-G4)</f>
        <v/>
      </c>
      <c r="Q4" s="18">
        <f>IF(O4=0,"—",IF(P4&lt;=30,"0–30",IF(P4&lt;=60,"31–60",IF(P4&lt;=90,"61–90","90+"))))</f>
        <v/>
      </c>
      <c r="R4" s="18" t="inlineStr">
        <is>
          <t>Insurance</t>
        </is>
      </c>
      <c r="S4" s="18" t="inlineStr">
        <is>
          <t>Pending insurance</t>
        </is>
      </c>
      <c r="T4" s="18" t="inlineStr"/>
      <c r="U4" s="19" t="n">
        <v>46284</v>
      </c>
      <c r="V4" s="18" t="inlineStr">
        <is>
          <t>Haley</t>
        </is>
      </c>
      <c r="W4" s="18">
        <f>IF(AND(O4&gt;0,U4&lt;&gt;"",U4&lt;=TODAY()),"Yes","No")</f>
        <v/>
      </c>
      <c r="X4" s="18" t="inlineStr">
        <is>
          <t>No ERA at 38 days — call payer</t>
        </is>
      </c>
    </row>
    <row r="5">
      <c r="A5" s="22" t="inlineStr">
        <is>
          <t>CL-10390</t>
        </is>
      </c>
      <c r="B5" s="22" t="inlineStr">
        <is>
          <t>P-1003</t>
        </is>
      </c>
      <c r="C5" s="22" t="inlineStr">
        <is>
          <t>Okoye, M.</t>
        </is>
      </c>
      <c r="D5" s="22" t="inlineStr">
        <is>
          <t>Dr. Patel</t>
        </is>
      </c>
      <c r="E5" s="22" t="inlineStr">
        <is>
          <t>Main</t>
        </is>
      </c>
      <c r="F5" s="23" t="n">
        <v>46225</v>
      </c>
      <c r="G5" s="23" t="n">
        <v>46229</v>
      </c>
      <c r="H5" s="22" t="inlineStr">
        <is>
          <t>D2740</t>
        </is>
      </c>
      <c r="I5" s="22" t="inlineStr">
        <is>
          <t>Crown — porcelain/ceramic</t>
        </is>
      </c>
      <c r="J5" s="22" t="inlineStr">
        <is>
          <t>Cigna</t>
        </is>
      </c>
      <c r="K5" s="24" t="n">
        <v>1285</v>
      </c>
      <c r="L5" s="24" t="n">
        <v>842</v>
      </c>
      <c r="M5" s="24" t="n">
        <v>0</v>
      </c>
      <c r="N5" s="24" t="n">
        <v>0</v>
      </c>
      <c r="O5" s="24">
        <f>MAX(0,K5-L5-M5-N5)</f>
        <v/>
      </c>
      <c r="P5" s="25">
        <f>IF(G5="","",TODAY()-G5)</f>
        <v/>
      </c>
      <c r="Q5" s="22">
        <f>IF(O5=0,"—",IF(P5&lt;=30,"0–30",IF(P5&lt;=60,"31–60",IF(P5&lt;=90,"61–90","90+"))))</f>
        <v/>
      </c>
      <c r="R5" s="22" t="inlineStr">
        <is>
          <t>Patient</t>
        </is>
      </c>
      <c r="S5" s="22" t="inlineStr">
        <is>
          <t>Patient billed</t>
        </is>
      </c>
      <c r="T5" s="22" t="inlineStr"/>
      <c r="U5" s="23" t="n">
        <v>46279</v>
      </c>
      <c r="V5" s="22" t="inlineStr">
        <is>
          <t>Haley</t>
        </is>
      </c>
      <c r="W5" s="22">
        <f>IF(AND(O5&gt;0,U5&lt;&gt;"",U5&lt;=TODAY()),"Yes","No")</f>
        <v/>
      </c>
      <c r="X5" s="22" t="inlineStr">
        <is>
          <t>Statement 2 sent</t>
        </is>
      </c>
    </row>
    <row r="6">
      <c r="A6" s="18" t="inlineStr">
        <is>
          <t>CL-10371</t>
        </is>
      </c>
      <c r="B6" s="18" t="inlineStr">
        <is>
          <t>P-1031</t>
        </is>
      </c>
      <c r="C6" s="18" t="inlineStr">
        <is>
          <t>Ellis, S.</t>
        </is>
      </c>
      <c r="D6" s="18" t="inlineStr">
        <is>
          <t>Dr. Chen</t>
        </is>
      </c>
      <c r="E6" s="18" t="inlineStr">
        <is>
          <t>Main</t>
        </is>
      </c>
      <c r="F6" s="19" t="n">
        <v>46191</v>
      </c>
      <c r="G6" s="19" t="n">
        <v>46195</v>
      </c>
      <c r="H6" s="18" t="inlineStr">
        <is>
          <t>D4341</t>
        </is>
      </c>
      <c r="I6" s="18" t="inlineStr">
        <is>
          <t>Perio scaling quadrant</t>
        </is>
      </c>
      <c r="J6" s="18" t="inlineStr">
        <is>
          <t>Delta Dental</t>
        </is>
      </c>
      <c r="K6" s="20" t="n">
        <v>312</v>
      </c>
      <c r="L6" s="20" t="n">
        <v>0</v>
      </c>
      <c r="M6" s="20" t="n">
        <v>0</v>
      </c>
      <c r="N6" s="20" t="n">
        <v>0</v>
      </c>
      <c r="O6" s="20">
        <f>MAX(0,K6-L6-M6-N6)</f>
        <v/>
      </c>
      <c r="P6" s="21">
        <f>IF(G6="","",TODAY()-G6)</f>
        <v/>
      </c>
      <c r="Q6" s="18">
        <f>IF(O6=0,"—",IF(P6&lt;=30,"0–30",IF(P6&lt;=60,"31–60",IF(P6&lt;=90,"61–90","90+"))))</f>
        <v/>
      </c>
      <c r="R6" s="18" t="inlineStr">
        <is>
          <t>Insurance</t>
        </is>
      </c>
      <c r="S6" s="18" t="inlineStr">
        <is>
          <t>Denied — appeal</t>
        </is>
      </c>
      <c r="T6" s="18" t="inlineStr">
        <is>
          <t>Missing perio chart</t>
        </is>
      </c>
      <c r="U6" s="19" t="n">
        <v>46288</v>
      </c>
      <c r="V6" s="18" t="inlineStr">
        <is>
          <t>Haley</t>
        </is>
      </c>
      <c r="W6" s="18">
        <f>IF(AND(O6&gt;0,U6&lt;&gt;"",U6&lt;=TODAY()),"Yes","No")</f>
        <v/>
      </c>
      <c r="X6" s="18" t="inlineStr">
        <is>
          <t>Chart attached; appeal day 4</t>
        </is>
      </c>
    </row>
    <row r="7">
      <c r="A7" s="22" t="inlineStr">
        <is>
          <t>CL-10430</t>
        </is>
      </c>
      <c r="B7" s="22" t="inlineStr">
        <is>
          <t>P-1019</t>
        </is>
      </c>
      <c r="C7" s="22" t="inlineStr">
        <is>
          <t>Hassan, L.</t>
        </is>
      </c>
      <c r="D7" s="22" t="inlineStr">
        <is>
          <t>Dr. Ruiz</t>
        </is>
      </c>
      <c r="E7" s="22" t="inlineStr">
        <is>
          <t>North</t>
        </is>
      </c>
      <c r="F7" s="23" t="n">
        <v>46280</v>
      </c>
      <c r="G7" s="23" t="n">
        <v>46282</v>
      </c>
      <c r="H7" s="22" t="inlineStr">
        <is>
          <t>D0150</t>
        </is>
      </c>
      <c r="I7" s="22" t="inlineStr">
        <is>
          <t>Comprehensive oral eval</t>
        </is>
      </c>
      <c r="J7" s="22" t="inlineStr">
        <is>
          <t>Guardian</t>
        </is>
      </c>
      <c r="K7" s="24" t="n">
        <v>98</v>
      </c>
      <c r="L7" s="24" t="n">
        <v>0</v>
      </c>
      <c r="M7" s="24" t="n">
        <v>0</v>
      </c>
      <c r="N7" s="24" t="n">
        <v>0</v>
      </c>
      <c r="O7" s="24">
        <f>MAX(0,K7-L7-M7-N7)</f>
        <v/>
      </c>
      <c r="P7" s="25">
        <f>IF(G7="","",TODAY()-G7)</f>
        <v/>
      </c>
      <c r="Q7" s="22">
        <f>IF(O7=0,"—",IF(P7&lt;=30,"0–30",IF(P7&lt;=60,"31–60",IF(P7&lt;=90,"61–90","90+"))))</f>
        <v/>
      </c>
      <c r="R7" s="22" t="inlineStr">
        <is>
          <t>Insurance</t>
        </is>
      </c>
      <c r="S7" s="22" t="inlineStr">
        <is>
          <t>Pending insurance</t>
        </is>
      </c>
      <c r="T7" s="22" t="inlineStr"/>
      <c r="U7" s="23" t="n">
        <v>46299</v>
      </c>
      <c r="V7" s="22" t="inlineStr">
        <is>
          <t>Haley</t>
        </is>
      </c>
      <c r="W7" s="22">
        <f>IF(AND(O7&gt;0,U7&lt;&gt;"",U7&lt;=TODAY()),"Yes","No")</f>
        <v/>
      </c>
      <c r="X7" s="22" t="inlineStr"/>
    </row>
    <row r="8">
      <c r="A8" s="18" t="inlineStr">
        <is>
          <t>CL-10355</t>
        </is>
      </c>
      <c r="B8" s="18" t="inlineStr">
        <is>
          <t>P-1001</t>
        </is>
      </c>
      <c r="C8" s="18" t="inlineStr">
        <is>
          <t>Park, H.</t>
        </is>
      </c>
      <c r="D8" s="18" t="inlineStr">
        <is>
          <t>Dr. Patel</t>
        </is>
      </c>
      <c r="E8" s="18" t="inlineStr">
        <is>
          <t>Main</t>
        </is>
      </c>
      <c r="F8" s="19" t="n">
        <v>46166</v>
      </c>
      <c r="G8" s="19" t="n">
        <v>46169</v>
      </c>
      <c r="H8" s="18" t="inlineStr">
        <is>
          <t>D2750</t>
        </is>
      </c>
      <c r="I8" s="18" t="inlineStr">
        <is>
          <t>Crown — PFM</t>
        </is>
      </c>
      <c r="J8" s="18" t="inlineStr">
        <is>
          <t>Aetna</t>
        </is>
      </c>
      <c r="K8" s="20" t="n">
        <v>1140</v>
      </c>
      <c r="L8" s="20" t="n">
        <v>0</v>
      </c>
      <c r="M8" s="20" t="n">
        <v>0</v>
      </c>
      <c r="N8" s="20" t="n">
        <v>1140</v>
      </c>
      <c r="O8" s="20">
        <f>MAX(0,K8-L8-M8-N8)</f>
        <v/>
      </c>
      <c r="P8" s="21">
        <f>IF(G8="","",TODAY()-G8)</f>
        <v/>
      </c>
      <c r="Q8" s="18">
        <f>IF(O8=0,"—",IF(P8&lt;=30,"0–30",IF(P8&lt;=60,"31–60",IF(P8&lt;=90,"61–90","90+"))))</f>
        <v/>
      </c>
      <c r="R8" s="18" t="inlineStr">
        <is>
          <t>Closed</t>
        </is>
      </c>
      <c r="S8" s="18" t="inlineStr">
        <is>
          <t>Adjusted / written off</t>
        </is>
      </c>
      <c r="T8" s="18" t="inlineStr">
        <is>
          <t>Timely filing</t>
        </is>
      </c>
      <c r="U8" s="18" t="inlineStr"/>
      <c r="V8" s="18" t="inlineStr">
        <is>
          <t>Office mgr</t>
        </is>
      </c>
      <c r="W8" s="18">
        <f>IF(AND(O8&gt;0,U8&lt;&gt;"",U8&lt;=TODAY()),"Yes","No")</f>
        <v/>
      </c>
      <c r="X8" s="18" t="inlineStr">
        <is>
          <t>Write-off approved 9/8</t>
        </is>
      </c>
    </row>
    <row r="9">
      <c r="A9" s="22" t="inlineStr">
        <is>
          <t>CL-10418</t>
        </is>
      </c>
      <c r="B9" s="22" t="inlineStr">
        <is>
          <t>P-1027</t>
        </is>
      </c>
      <c r="C9" s="22" t="inlineStr">
        <is>
          <t>Diaz, C.</t>
        </is>
      </c>
      <c r="D9" s="22" t="inlineStr">
        <is>
          <t>Dr. Ruiz</t>
        </is>
      </c>
      <c r="E9" s="22" t="inlineStr">
        <is>
          <t>North</t>
        </is>
      </c>
      <c r="F9" s="23" t="n">
        <v>46266</v>
      </c>
      <c r="G9" s="23" t="n">
        <v>46268</v>
      </c>
      <c r="H9" s="22" t="inlineStr">
        <is>
          <t>D2392</t>
        </is>
      </c>
      <c r="I9" s="22" t="inlineStr">
        <is>
          <t>Resin 2 surface post.</t>
        </is>
      </c>
      <c r="J9" s="22" t="inlineStr">
        <is>
          <t>MetLife</t>
        </is>
      </c>
      <c r="K9" s="24" t="n">
        <v>268</v>
      </c>
      <c r="L9" s="24" t="n">
        <v>174</v>
      </c>
      <c r="M9" s="24" t="n">
        <v>94</v>
      </c>
      <c r="N9" s="24" t="n">
        <v>0</v>
      </c>
      <c r="O9" s="24">
        <f>MAX(0,K9-L9-M9-N9)</f>
        <v/>
      </c>
      <c r="P9" s="25">
        <f>IF(G9="","",TODAY()-G9)</f>
        <v/>
      </c>
      <c r="Q9" s="22">
        <f>IF(O9=0,"—",IF(P9&lt;=30,"0–30",IF(P9&lt;=60,"31–60",IF(P9&lt;=90,"61–90","90+"))))</f>
        <v/>
      </c>
      <c r="R9" s="22" t="inlineStr">
        <is>
          <t>Closed</t>
        </is>
      </c>
      <c r="S9" s="22" t="inlineStr">
        <is>
          <t>Paid in full</t>
        </is>
      </c>
      <c r="T9" s="22" t="inlineStr"/>
      <c r="U9" s="22" t="inlineStr"/>
      <c r="V9" s="22" t="inlineStr">
        <is>
          <t>Haley</t>
        </is>
      </c>
      <c r="W9" s="22">
        <f>IF(AND(O9&gt;0,U9&lt;&gt;"",U9&lt;=TODAY()),"Yes","No")</f>
        <v/>
      </c>
      <c r="X9" s="22" t="inlineStr"/>
    </row>
    <row r="10">
      <c r="A10" s="18" t="inlineStr">
        <is>
          <t>CL-10402</t>
        </is>
      </c>
      <c r="B10" s="18" t="inlineStr">
        <is>
          <t>P-1011</t>
        </is>
      </c>
      <c r="C10" s="18" t="inlineStr">
        <is>
          <t>Walsh, K.</t>
        </is>
      </c>
      <c r="D10" s="18" t="inlineStr">
        <is>
          <t>Dr. Chen</t>
        </is>
      </c>
      <c r="E10" s="18" t="inlineStr">
        <is>
          <t>Main</t>
        </is>
      </c>
      <c r="F10" s="19" t="n">
        <v>46238</v>
      </c>
      <c r="G10" s="19" t="n">
        <v>46241</v>
      </c>
      <c r="H10" s="18" t="inlineStr">
        <is>
          <t>D0220</t>
        </is>
      </c>
      <c r="I10" s="18" t="inlineStr">
        <is>
          <t>Intraoral — first PA</t>
        </is>
      </c>
      <c r="J10" s="18" t="inlineStr">
        <is>
          <t>Medicaid</t>
        </is>
      </c>
      <c r="K10" s="20" t="n">
        <v>42</v>
      </c>
      <c r="L10" s="20" t="n">
        <v>0</v>
      </c>
      <c r="M10" s="20" t="n">
        <v>0</v>
      </c>
      <c r="N10" s="20" t="n">
        <v>0</v>
      </c>
      <c r="O10" s="20">
        <f>MAX(0,K10-L10-M10-N10)</f>
        <v/>
      </c>
      <c r="P10" s="21">
        <f>IF(G10="","",TODAY()-G10)</f>
        <v/>
      </c>
      <c r="Q10" s="18">
        <f>IF(O10=0,"—",IF(P10&lt;=30,"0–30",IF(P10&lt;=60,"31–60",IF(P10&lt;=90,"61–90","90+"))))</f>
        <v/>
      </c>
      <c r="R10" s="18" t="inlineStr">
        <is>
          <t>Insurance</t>
        </is>
      </c>
      <c r="S10" s="18" t="inlineStr">
        <is>
          <t>Pending insurance</t>
        </is>
      </c>
      <c r="T10" s="18" t="inlineStr"/>
      <c r="U10" s="19" t="n">
        <v>46286</v>
      </c>
      <c r="V10" s="18" t="inlineStr">
        <is>
          <t>Haley</t>
        </is>
      </c>
      <c r="W10" s="18">
        <f>IF(AND(O10&gt;0,U10&lt;&gt;"",U10&lt;=TODAY()),"Yes","No")</f>
        <v/>
      </c>
      <c r="X10" s="18" t="inlineStr">
        <is>
          <t>Portal shows in review</t>
        </is>
      </c>
    </row>
    <row r="11">
      <c r="A11" s="22" t="inlineStr">
        <is>
          <t>CL-10388</t>
        </is>
      </c>
      <c r="B11" s="22" t="inlineStr">
        <is>
          <t>P-1006</t>
        </is>
      </c>
      <c r="C11" s="22" t="inlineStr">
        <is>
          <t>Ibrahim, N.</t>
        </is>
      </c>
      <c r="D11" s="22" t="inlineStr">
        <is>
          <t>Dr. Patel</t>
        </is>
      </c>
      <c r="E11" s="22" t="inlineStr">
        <is>
          <t>Main</t>
        </is>
      </c>
      <c r="F11" s="23" t="n">
        <v>46213</v>
      </c>
      <c r="G11" s="23" t="n">
        <v>46217</v>
      </c>
      <c r="H11" s="22" t="inlineStr">
        <is>
          <t>D6010</t>
        </is>
      </c>
      <c r="I11" s="22" t="inlineStr">
        <is>
          <t>Surgical implant</t>
        </is>
      </c>
      <c r="J11" s="22" t="inlineStr">
        <is>
          <t>Self-pay</t>
        </is>
      </c>
      <c r="K11" s="24" t="n">
        <v>2450</v>
      </c>
      <c r="L11" s="24" t="n">
        <v>0</v>
      </c>
      <c r="M11" s="24" t="n">
        <v>800</v>
      </c>
      <c r="N11" s="24" t="n">
        <v>0</v>
      </c>
      <c r="O11" s="24">
        <f>MAX(0,K11-L11-M11-N11)</f>
        <v/>
      </c>
      <c r="P11" s="25">
        <f>IF(G11="","",TODAY()-G11)</f>
        <v/>
      </c>
      <c r="Q11" s="22">
        <f>IF(O11=0,"—",IF(P11&lt;=30,"0–30",IF(P11&lt;=60,"31–60",IF(P11&lt;=90,"61–90","90+"))))</f>
        <v/>
      </c>
      <c r="R11" s="22" t="inlineStr">
        <is>
          <t>Patient</t>
        </is>
      </c>
      <c r="S11" s="22" t="inlineStr">
        <is>
          <t>Payment plan</t>
        </is>
      </c>
      <c r="T11" s="22" t="inlineStr"/>
      <c r="U11" s="23" t="n">
        <v>46295</v>
      </c>
      <c r="V11" s="22" t="inlineStr">
        <is>
          <t>Front desk</t>
        </is>
      </c>
      <c r="W11" s="22">
        <f>IF(AND(O11&gt;0,U11&lt;&gt;"",U11&lt;=TODAY()),"Yes","No")</f>
        <v/>
      </c>
      <c r="X11" s="22" t="inlineStr">
        <is>
          <t>Plan $400 / mo · 4 left</t>
        </is>
      </c>
    </row>
    <row r="12">
      <c r="A12" s="18" t="inlineStr">
        <is>
          <t>CL-10425</t>
        </is>
      </c>
      <c r="B12" s="18" t="inlineStr">
        <is>
          <t>P-1033</t>
        </is>
      </c>
      <c r="C12" s="18" t="inlineStr">
        <is>
          <t>Grant, E.</t>
        </is>
      </c>
      <c r="D12" s="18" t="inlineStr">
        <is>
          <t>Dr. Chen</t>
        </is>
      </c>
      <c r="E12" s="18" t="inlineStr">
        <is>
          <t>North</t>
        </is>
      </c>
      <c r="F12" s="19" t="n">
        <v>46278</v>
      </c>
      <c r="G12" s="19" t="n">
        <v>46279</v>
      </c>
      <c r="H12" s="18" t="inlineStr">
        <is>
          <t>D0274</t>
        </is>
      </c>
      <c r="I12" s="18" t="inlineStr">
        <is>
          <t>Bitewings — four</t>
        </is>
      </c>
      <c r="J12" s="18" t="inlineStr">
        <is>
          <t>Delta Dental</t>
        </is>
      </c>
      <c r="K12" s="20" t="n">
        <v>86</v>
      </c>
      <c r="L12" s="20" t="n">
        <v>69</v>
      </c>
      <c r="M12" s="20" t="n">
        <v>0</v>
      </c>
      <c r="N12" s="20" t="n">
        <v>0</v>
      </c>
      <c r="O12" s="20">
        <f>MAX(0,K12-L12-M12-N12)</f>
        <v/>
      </c>
      <c r="P12" s="21">
        <f>IF(G12="","",TODAY()-G12)</f>
        <v/>
      </c>
      <c r="Q12" s="18">
        <f>IF(O12=0,"—",IF(P12&lt;=30,"0–30",IF(P12&lt;=60,"31–60",IF(P12&lt;=90,"61–90","90+"))))</f>
        <v/>
      </c>
      <c r="R12" s="18" t="inlineStr">
        <is>
          <t>Patient</t>
        </is>
      </c>
      <c r="S12" s="18" t="inlineStr">
        <is>
          <t>Patient billed</t>
        </is>
      </c>
      <c r="T12" s="18" t="inlineStr"/>
      <c r="U12" s="19" t="n">
        <v>46293</v>
      </c>
      <c r="V12" s="18" t="inlineStr">
        <is>
          <t>Haley</t>
        </is>
      </c>
      <c r="W12" s="18">
        <f>IF(AND(O12&gt;0,U12&lt;&gt;"",U12&lt;=TODAY()),"Yes","No")</f>
        <v/>
      </c>
      <c r="X12" s="18" t="inlineStr"/>
    </row>
    <row r="13">
      <c r="A13" s="22" t="inlineStr">
        <is>
          <t>CL-10364</t>
        </is>
      </c>
      <c r="B13" s="22" t="inlineStr">
        <is>
          <t>P-1016</t>
        </is>
      </c>
      <c r="C13" s="22" t="inlineStr">
        <is>
          <t>Sato, Y.</t>
        </is>
      </c>
      <c r="D13" s="22" t="inlineStr">
        <is>
          <t>Dr. Ruiz</t>
        </is>
      </c>
      <c r="E13" s="22" t="inlineStr">
        <is>
          <t>Main</t>
        </is>
      </c>
      <c r="F13" s="23" t="n">
        <v>46179</v>
      </c>
      <c r="G13" s="23" t="n">
        <v>46183</v>
      </c>
      <c r="H13" s="22" t="inlineStr">
        <is>
          <t>D8090</t>
        </is>
      </c>
      <c r="I13" s="22" t="inlineStr">
        <is>
          <t>Comp orthodontic treatment</t>
        </is>
      </c>
      <c r="J13" s="22" t="inlineStr">
        <is>
          <t>Cigna</t>
        </is>
      </c>
      <c r="K13" s="24" t="n">
        <v>4200</v>
      </c>
      <c r="L13" s="24" t="n">
        <v>2100</v>
      </c>
      <c r="M13" s="24" t="n">
        <v>0</v>
      </c>
      <c r="N13" s="24" t="n">
        <v>0</v>
      </c>
      <c r="O13" s="24">
        <f>MAX(0,K13-L13-M13-N13)</f>
        <v/>
      </c>
      <c r="P13" s="25">
        <f>IF(G13="","",TODAY()-G13)</f>
        <v/>
      </c>
      <c r="Q13" s="22">
        <f>IF(O13=0,"—",IF(P13&lt;=30,"0–30",IF(P13&lt;=60,"31–60",IF(P13&lt;=90,"61–90","90+"))))</f>
        <v/>
      </c>
      <c r="R13" s="22" t="inlineStr">
        <is>
          <t>Patient</t>
        </is>
      </c>
      <c r="S13" s="22" t="inlineStr">
        <is>
          <t>Collections review</t>
        </is>
      </c>
      <c r="T13" s="22" t="inlineStr"/>
      <c r="U13" s="23" t="n">
        <v>46273</v>
      </c>
      <c r="V13" s="22" t="inlineStr">
        <is>
          <t>Office mgr</t>
        </is>
      </c>
      <c r="W13" s="22">
        <f>IF(AND(O13&gt;0,U13&lt;&gt;"",U13&lt;=TODAY()),"Yes","No")</f>
        <v/>
      </c>
      <c r="X13" s="22" t="inlineStr">
        <is>
          <t>Balance 90+ · send to collections?</t>
        </is>
      </c>
    </row>
    <row r="14">
      <c r="A14" s="18" t="inlineStr">
        <is>
          <t>CL-10411</t>
        </is>
      </c>
      <c r="B14" s="18" t="inlineStr">
        <is>
          <t>P-1024</t>
        </is>
      </c>
      <c r="C14" s="18" t="inlineStr">
        <is>
          <t>Miller, P.</t>
        </is>
      </c>
      <c r="D14" s="18" t="inlineStr">
        <is>
          <t>Dr. Patel</t>
        </is>
      </c>
      <c r="E14" s="18" t="inlineStr">
        <is>
          <t>Main</t>
        </is>
      </c>
      <c r="F14" s="19" t="n">
        <v>46254</v>
      </c>
      <c r="G14" s="19" t="n">
        <v>46257</v>
      </c>
      <c r="H14" s="18" t="inlineStr">
        <is>
          <t>D2140</t>
        </is>
      </c>
      <c r="I14" s="18" t="inlineStr">
        <is>
          <t>Amalgam 1 surface</t>
        </is>
      </c>
      <c r="J14" s="18" t="inlineStr">
        <is>
          <t>Guardian</t>
        </is>
      </c>
      <c r="K14" s="20" t="n">
        <v>168</v>
      </c>
      <c r="L14" s="20" t="n">
        <v>0</v>
      </c>
      <c r="M14" s="20" t="n">
        <v>0</v>
      </c>
      <c r="N14" s="20" t="n">
        <v>0</v>
      </c>
      <c r="O14" s="20">
        <f>MAX(0,K14-L14-M14-N14)</f>
        <v/>
      </c>
      <c r="P14" s="21">
        <f>IF(G14="","",TODAY()-G14)</f>
        <v/>
      </c>
      <c r="Q14" s="18">
        <f>IF(O14=0,"—",IF(P14&lt;=30,"0–30",IF(P14&lt;=60,"31–60",IF(P14&lt;=90,"61–90","90+"))))</f>
        <v/>
      </c>
      <c r="R14" s="18" t="inlineStr">
        <is>
          <t>Insurance</t>
        </is>
      </c>
      <c r="S14" s="18" t="inlineStr">
        <is>
          <t>Denied — correct/resubmit</t>
        </is>
      </c>
      <c r="T14" s="18" t="inlineStr">
        <is>
          <t>Tooth number missing</t>
        </is>
      </c>
      <c r="U14" s="19" t="n">
        <v>46287</v>
      </c>
      <c r="V14" s="18" t="inlineStr">
        <is>
          <t>Haley</t>
        </is>
      </c>
      <c r="W14" s="18">
        <f>IF(AND(O14&gt;0,U14&lt;&gt;"",U14&lt;=TODAY()),"Yes","No")</f>
        <v/>
      </c>
      <c r="X14" s="18" t="inlineStr">
        <is>
          <t>Resubmit today</t>
        </is>
      </c>
    </row>
    <row r="15">
      <c r="A15" s="22" t="inlineStr">
        <is>
          <t>CL-10433</t>
        </is>
      </c>
      <c r="B15" s="22" t="inlineStr">
        <is>
          <t>P-1009</t>
        </is>
      </c>
      <c r="C15" s="22" t="inlineStr">
        <is>
          <t>Cole, R.</t>
        </is>
      </c>
      <c r="D15" s="22" t="inlineStr">
        <is>
          <t>Dr. Chen</t>
        </is>
      </c>
      <c r="E15" s="22" t="inlineStr">
        <is>
          <t>North</t>
        </is>
      </c>
      <c r="F15" s="23" t="n">
        <v>46283</v>
      </c>
      <c r="G15" s="23" t="n">
        <v>46284</v>
      </c>
      <c r="H15" s="22" t="inlineStr">
        <is>
          <t>D1110</t>
        </is>
      </c>
      <c r="I15" s="22" t="inlineStr">
        <is>
          <t>Adult prophylaxis</t>
        </is>
      </c>
      <c r="J15" s="22" t="inlineStr">
        <is>
          <t>MetLife</t>
        </is>
      </c>
      <c r="K15" s="24" t="n">
        <v>124</v>
      </c>
      <c r="L15" s="24" t="n">
        <v>0</v>
      </c>
      <c r="M15" s="24" t="n">
        <v>0</v>
      </c>
      <c r="N15" s="24" t="n">
        <v>0</v>
      </c>
      <c r="O15" s="24">
        <f>MAX(0,K15-L15-M15-N15)</f>
        <v/>
      </c>
      <c r="P15" s="25">
        <f>IF(G15="","",TODAY()-G15)</f>
        <v/>
      </c>
      <c r="Q15" s="22">
        <f>IF(O15=0,"—",IF(P15&lt;=30,"0–30",IF(P15&lt;=60,"31–60",IF(P15&lt;=90,"61–90","90+"))))</f>
        <v/>
      </c>
      <c r="R15" s="22" t="inlineStr">
        <is>
          <t>Insurance</t>
        </is>
      </c>
      <c r="S15" s="22" t="inlineStr">
        <is>
          <t>Pending insurance</t>
        </is>
      </c>
      <c r="T15" s="22" t="inlineStr"/>
      <c r="U15" s="23" t="n">
        <v>46301</v>
      </c>
      <c r="V15" s="22" t="inlineStr">
        <is>
          <t>Haley</t>
        </is>
      </c>
      <c r="W15" s="22">
        <f>IF(AND(O15&gt;0,U15&lt;&gt;"",U15&lt;=TODAY()),"Yes","No")</f>
        <v/>
      </c>
      <c r="X15" s="22" t="inlineStr">
        <is>
          <t>Fresh claim</t>
        </is>
      </c>
    </row>
    <row r="16">
      <c r="A16" s="18" t="inlineStr">
        <is>
          <t>CL-10397</t>
        </is>
      </c>
      <c r="B16" s="18" t="inlineStr">
        <is>
          <t>P-1029</t>
        </is>
      </c>
      <c r="C16" s="18" t="inlineStr">
        <is>
          <t>Bennett, F.</t>
        </is>
      </c>
      <c r="D16" s="18" t="inlineStr">
        <is>
          <t>Dr. Ruiz</t>
        </is>
      </c>
      <c r="E16" s="18" t="inlineStr">
        <is>
          <t>Main</t>
        </is>
      </c>
      <c r="F16" s="19" t="n">
        <v>46232</v>
      </c>
      <c r="G16" s="19" t="n">
        <v>46235</v>
      </c>
      <c r="H16" s="18" t="inlineStr">
        <is>
          <t>D3310</t>
        </is>
      </c>
      <c r="I16" s="18" t="inlineStr">
        <is>
          <t>Endo — anterior</t>
        </is>
      </c>
      <c r="J16" s="18" t="inlineStr">
        <is>
          <t>Aetna</t>
        </is>
      </c>
      <c r="K16" s="20" t="n">
        <v>890</v>
      </c>
      <c r="L16" s="20" t="n">
        <v>623</v>
      </c>
      <c r="M16" s="20" t="n">
        <v>0</v>
      </c>
      <c r="N16" s="20" t="n">
        <v>0</v>
      </c>
      <c r="O16" s="20">
        <f>MAX(0,K16-L16-M16-N16)</f>
        <v/>
      </c>
      <c r="P16" s="21">
        <f>IF(G16="","",TODAY()-G16)</f>
        <v/>
      </c>
      <c r="Q16" s="18">
        <f>IF(O16=0,"—",IF(P16&lt;=30,"0–30",IF(P16&lt;=60,"31–60",IF(P16&lt;=90,"61–90","90+"))))</f>
        <v/>
      </c>
      <c r="R16" s="18" t="inlineStr">
        <is>
          <t>Patient</t>
        </is>
      </c>
      <c r="S16" s="18" t="inlineStr">
        <is>
          <t>Patient billed</t>
        </is>
      </c>
      <c r="T16" s="18" t="inlineStr"/>
      <c r="U16" s="19" t="n">
        <v>46282</v>
      </c>
      <c r="V16" s="18" t="inlineStr">
        <is>
          <t>Haley</t>
        </is>
      </c>
      <c r="W16" s="18">
        <f>IF(AND(O16&gt;0,U16&lt;&gt;"",U16&lt;=TODAY()),"Yes","No")</f>
        <v/>
      </c>
      <c r="X16" s="18" t="inlineStr">
        <is>
          <t>Voicemail 9/17</t>
        </is>
      </c>
    </row>
    <row r="17">
      <c r="A17" s="22" t="inlineStr">
        <is>
          <t>CL-10415</t>
        </is>
      </c>
      <c r="B17" s="22" t="inlineStr">
        <is>
          <t>P-1004</t>
        </is>
      </c>
      <c r="C17" s="22" t="inlineStr">
        <is>
          <t>Singh, D.</t>
        </is>
      </c>
      <c r="D17" s="22" t="inlineStr">
        <is>
          <t>Dr. Patel</t>
        </is>
      </c>
      <c r="E17" s="22" t="inlineStr">
        <is>
          <t>North</t>
        </is>
      </c>
      <c r="F17" s="23" t="n">
        <v>46261</v>
      </c>
      <c r="G17" s="23" t="n">
        <v>46263</v>
      </c>
      <c r="H17" s="22" t="inlineStr">
        <is>
          <t>D7140</t>
        </is>
      </c>
      <c r="I17" s="22" t="inlineStr">
        <is>
          <t>Extraction erupted tooth</t>
        </is>
      </c>
      <c r="J17" s="22" t="inlineStr">
        <is>
          <t>Delta Dental</t>
        </is>
      </c>
      <c r="K17" s="24" t="n">
        <v>215</v>
      </c>
      <c r="L17" s="24" t="n">
        <v>172</v>
      </c>
      <c r="M17" s="24" t="n">
        <v>43</v>
      </c>
      <c r="N17" s="24" t="n">
        <v>0</v>
      </c>
      <c r="O17" s="24">
        <f>MAX(0,K17-L17-M17-N17)</f>
        <v/>
      </c>
      <c r="P17" s="25">
        <f>IF(G17="","",TODAY()-G17)</f>
        <v/>
      </c>
      <c r="Q17" s="22">
        <f>IF(O17=0,"—",IF(P17&lt;=30,"0–30",IF(P17&lt;=60,"31–60",IF(P17&lt;=90,"61–90","90+"))))</f>
        <v/>
      </c>
      <c r="R17" s="22" t="inlineStr">
        <is>
          <t>Closed</t>
        </is>
      </c>
      <c r="S17" s="22" t="inlineStr">
        <is>
          <t>Paid in full</t>
        </is>
      </c>
      <c r="T17" s="22" t="inlineStr"/>
      <c r="U17" s="22" t="inlineStr"/>
      <c r="V17" s="22" t="inlineStr">
        <is>
          <t>Haley</t>
        </is>
      </c>
      <c r="W17" s="22">
        <f>IF(AND(O17&gt;0,U17&lt;&gt;"",U17&lt;=TODAY()),"Yes","No")</f>
        <v/>
      </c>
      <c r="X17" s="22" t="inlineStr"/>
    </row>
    <row r="18">
      <c r="A18" s="18" t="inlineStr">
        <is>
          <t>CL-10380</t>
        </is>
      </c>
      <c r="B18" s="18" t="inlineStr">
        <is>
          <t>P-1018</t>
        </is>
      </c>
      <c r="C18" s="18" t="inlineStr">
        <is>
          <t>Young, B.</t>
        </is>
      </c>
      <c r="D18" s="18" t="inlineStr">
        <is>
          <t>Dr. Chen</t>
        </is>
      </c>
      <c r="E18" s="18" t="inlineStr">
        <is>
          <t>Main</t>
        </is>
      </c>
      <c r="F18" s="19" t="n">
        <v>46204</v>
      </c>
      <c r="G18" s="19" t="n">
        <v>46207</v>
      </c>
      <c r="H18" s="18" t="inlineStr">
        <is>
          <t>D4260</t>
        </is>
      </c>
      <c r="I18" s="18" t="inlineStr">
        <is>
          <t>Osseous surgery quadrant</t>
        </is>
      </c>
      <c r="J18" s="18" t="inlineStr">
        <is>
          <t>Cigna</t>
        </is>
      </c>
      <c r="K18" s="20" t="n">
        <v>980</v>
      </c>
      <c r="L18" s="20" t="n">
        <v>0</v>
      </c>
      <c r="M18" s="20" t="n">
        <v>0</v>
      </c>
      <c r="N18" s="20" t="n">
        <v>0</v>
      </c>
      <c r="O18" s="20">
        <f>MAX(0,K18-L18-M18-N18)</f>
        <v/>
      </c>
      <c r="P18" s="21">
        <f>IF(G18="","",TODAY()-G18)</f>
        <v/>
      </c>
      <c r="Q18" s="18">
        <f>IF(O18=0,"—",IF(P18&lt;=30,"0–30",IF(P18&lt;=60,"31–60",IF(P18&lt;=90,"61–90","90+"))))</f>
        <v/>
      </c>
      <c r="R18" s="18" t="inlineStr">
        <is>
          <t>Insurance</t>
        </is>
      </c>
      <c r="S18" s="18" t="inlineStr">
        <is>
          <t>Pending insurance</t>
        </is>
      </c>
      <c r="T18" s="18" t="inlineStr"/>
      <c r="U18" s="19" t="n">
        <v>46277</v>
      </c>
      <c r="V18" s="18" t="inlineStr">
        <is>
          <t>Haley</t>
        </is>
      </c>
      <c r="W18" s="18">
        <f>IF(AND(O18&gt;0,U18&lt;&gt;"",U18&lt;=TODAY()),"Yes","No")</f>
        <v/>
      </c>
      <c r="X18" s="18" t="inlineStr">
        <is>
          <t>Payer requested x-rays — sent 9/4</t>
        </is>
      </c>
    </row>
    <row r="19">
      <c r="A19" s="22" t="inlineStr">
        <is>
          <t>CL-10428</t>
        </is>
      </c>
      <c r="B19" s="22" t="inlineStr">
        <is>
          <t>P-1035</t>
        </is>
      </c>
      <c r="C19" s="22" t="inlineStr">
        <is>
          <t>Ortiz, V.</t>
        </is>
      </c>
      <c r="D19" s="22" t="inlineStr">
        <is>
          <t>Dr. Ruiz</t>
        </is>
      </c>
      <c r="E19" s="22" t="inlineStr">
        <is>
          <t>North</t>
        </is>
      </c>
      <c r="F19" s="23" t="n">
        <v>46281</v>
      </c>
      <c r="G19" s="23" t="n">
        <v>46282</v>
      </c>
      <c r="H19" s="22" t="inlineStr">
        <is>
          <t>D1206</t>
        </is>
      </c>
      <c r="I19" s="22" t="inlineStr">
        <is>
          <t>Fluoride varnish</t>
        </is>
      </c>
      <c r="J19" s="22" t="inlineStr">
        <is>
          <t>Medicaid</t>
        </is>
      </c>
      <c r="K19" s="24" t="n">
        <v>38</v>
      </c>
      <c r="L19" s="24" t="n">
        <v>38</v>
      </c>
      <c r="M19" s="24" t="n">
        <v>0</v>
      </c>
      <c r="N19" s="24" t="n">
        <v>0</v>
      </c>
      <c r="O19" s="24">
        <f>MAX(0,K19-L19-M19-N19)</f>
        <v/>
      </c>
      <c r="P19" s="25">
        <f>IF(G19="","",TODAY()-G19)</f>
        <v/>
      </c>
      <c r="Q19" s="22">
        <f>IF(O19=0,"—",IF(P19&lt;=30,"0–30",IF(P19&lt;=60,"31–60",IF(P19&lt;=90,"61–90","90+"))))</f>
        <v/>
      </c>
      <c r="R19" s="22" t="inlineStr">
        <is>
          <t>Closed</t>
        </is>
      </c>
      <c r="S19" s="22" t="inlineStr">
        <is>
          <t>Paid in full</t>
        </is>
      </c>
      <c r="T19" s="22" t="inlineStr"/>
      <c r="U19" s="22" t="inlineStr"/>
      <c r="V19" s="22" t="inlineStr">
        <is>
          <t>Haley</t>
        </is>
      </c>
      <c r="W19" s="22">
        <f>IF(AND(O19&gt;0,U19&lt;&gt;"",U19&lt;=TODAY()),"Yes","No")</f>
        <v/>
      </c>
      <c r="X19" s="22" t="inlineStr"/>
    </row>
    <row r="20">
      <c r="A20" s="18" t="inlineStr">
        <is>
          <t>CL-10392</t>
        </is>
      </c>
      <c r="B20" s="18" t="inlineStr">
        <is>
          <t>P-1012</t>
        </is>
      </c>
      <c r="C20" s="18" t="inlineStr">
        <is>
          <t>Klein, J.</t>
        </is>
      </c>
      <c r="D20" s="18" t="inlineStr">
        <is>
          <t>Dr. Patel</t>
        </is>
      </c>
      <c r="E20" s="18" t="inlineStr">
        <is>
          <t>Main</t>
        </is>
      </c>
      <c r="F20" s="19" t="n">
        <v>46220</v>
      </c>
      <c r="G20" s="19" t="n">
        <v>46224</v>
      </c>
      <c r="H20" s="18" t="inlineStr">
        <is>
          <t>D2950</t>
        </is>
      </c>
      <c r="I20" s="18" t="inlineStr">
        <is>
          <t>Core buildup</t>
        </is>
      </c>
      <c r="J20" s="18" t="inlineStr">
        <is>
          <t>Guardian</t>
        </is>
      </c>
      <c r="K20" s="20" t="n">
        <v>285</v>
      </c>
      <c r="L20" s="20" t="n">
        <v>142</v>
      </c>
      <c r="M20" s="20" t="n">
        <v>0</v>
      </c>
      <c r="N20" s="20" t="n">
        <v>0</v>
      </c>
      <c r="O20" s="20">
        <f>MAX(0,K20-L20-M20-N20)</f>
        <v/>
      </c>
      <c r="P20" s="21">
        <f>IF(G20="","",TODAY()-G20)</f>
        <v/>
      </c>
      <c r="Q20" s="18">
        <f>IF(O20=0,"—",IF(P20&lt;=30,"0–30",IF(P20&lt;=60,"31–60",IF(P20&lt;=90,"61–90","90+"))))</f>
        <v/>
      </c>
      <c r="R20" s="18" t="inlineStr">
        <is>
          <t>Patient</t>
        </is>
      </c>
      <c r="S20" s="18" t="inlineStr">
        <is>
          <t>Patient billed</t>
        </is>
      </c>
      <c r="T20" s="18" t="inlineStr"/>
      <c r="U20" s="19" t="n">
        <v>46290</v>
      </c>
      <c r="V20" s="18" t="inlineStr">
        <is>
          <t>Front desk</t>
        </is>
      </c>
      <c r="W20" s="18">
        <f>IF(AND(O20&gt;0,U20&lt;&gt;"",U20&lt;=TODAY()),"Yes","No")</f>
        <v/>
      </c>
      <c r="X20" s="18" t="inlineStr"/>
    </row>
    <row r="21">
      <c r="A21" s="22" t="inlineStr">
        <is>
          <t>CL-10406</t>
        </is>
      </c>
      <c r="B21" s="22" t="inlineStr">
        <is>
          <t>P-1020</t>
        </is>
      </c>
      <c r="C21" s="22" t="inlineStr">
        <is>
          <t>Adeyemi, K.</t>
        </is>
      </c>
      <c r="D21" s="22" t="inlineStr">
        <is>
          <t>Dr. Chen</t>
        </is>
      </c>
      <c r="E21" s="22" t="inlineStr">
        <is>
          <t>Main</t>
        </is>
      </c>
      <c r="F21" s="23" t="n">
        <v>46243</v>
      </c>
      <c r="G21" s="23" t="n">
        <v>46246</v>
      </c>
      <c r="H21" s="22" t="inlineStr">
        <is>
          <t>D0220</t>
        </is>
      </c>
      <c r="I21" s="22" t="inlineStr">
        <is>
          <t>Intraoral — first PA</t>
        </is>
      </c>
      <c r="J21" s="22" t="inlineStr">
        <is>
          <t>Self-pay</t>
        </is>
      </c>
      <c r="K21" s="24" t="n">
        <v>42</v>
      </c>
      <c r="L21" s="24" t="n">
        <v>0</v>
      </c>
      <c r="M21" s="24" t="n">
        <v>0</v>
      </c>
      <c r="N21" s="24" t="n">
        <v>0</v>
      </c>
      <c r="O21" s="24">
        <f>MAX(0,K21-L21-M21-N21)</f>
        <v/>
      </c>
      <c r="P21" s="25">
        <f>IF(G21="","",TODAY()-G21)</f>
        <v/>
      </c>
      <c r="Q21" s="22">
        <f>IF(O21=0,"—",IF(P21&lt;=30,"0–30",IF(P21&lt;=60,"31–60",IF(P21&lt;=90,"61–90","90+"))))</f>
        <v/>
      </c>
      <c r="R21" s="22" t="inlineStr">
        <is>
          <t>Patient</t>
        </is>
      </c>
      <c r="S21" s="22" t="inlineStr">
        <is>
          <t>Patient billed</t>
        </is>
      </c>
      <c r="T21" s="22" t="inlineStr"/>
      <c r="U21" s="23" t="n">
        <v>46285</v>
      </c>
      <c r="V21" s="22" t="inlineStr">
        <is>
          <t>Front desk</t>
        </is>
      </c>
      <c r="W21" s="22">
        <f>IF(AND(O21&gt;0,U21&lt;&gt;"",U21&lt;=TODAY()),"Yes","No")</f>
        <v/>
      </c>
      <c r="X21" s="22" t="inlineStr">
        <is>
          <t>No insurance on file</t>
        </is>
      </c>
    </row>
    <row r="22">
      <c r="A22" s="18" t="inlineStr">
        <is>
          <t>CL-10377</t>
        </is>
      </c>
      <c r="B22" s="18" t="inlineStr">
        <is>
          <t>P-1007</t>
        </is>
      </c>
      <c r="C22" s="18" t="inlineStr">
        <is>
          <t>Foster, L.</t>
        </is>
      </c>
      <c r="D22" s="18" t="inlineStr">
        <is>
          <t>Dr. Ruiz</t>
        </is>
      </c>
      <c r="E22" s="18" t="inlineStr">
        <is>
          <t>North</t>
        </is>
      </c>
      <c r="F22" s="19" t="n">
        <v>46196</v>
      </c>
      <c r="G22" s="19" t="n">
        <v>46199</v>
      </c>
      <c r="H22" s="18" t="inlineStr">
        <is>
          <t>D2740</t>
        </is>
      </c>
      <c r="I22" s="18" t="inlineStr">
        <is>
          <t>Crown — porcelain/ceramic</t>
        </is>
      </c>
      <c r="J22" s="18" t="inlineStr">
        <is>
          <t>MetLife</t>
        </is>
      </c>
      <c r="K22" s="20" t="n">
        <v>1285</v>
      </c>
      <c r="L22" s="20" t="n">
        <v>0</v>
      </c>
      <c r="M22" s="20" t="n">
        <v>0</v>
      </c>
      <c r="N22" s="20" t="n">
        <v>0</v>
      </c>
      <c r="O22" s="20">
        <f>MAX(0,K22-L22-M22-N22)</f>
        <v/>
      </c>
      <c r="P22" s="21">
        <f>IF(G22="","",TODAY()-G22)</f>
        <v/>
      </c>
      <c r="Q22" s="18">
        <f>IF(O22=0,"—",IF(P22&lt;=30,"0–30",IF(P22&lt;=60,"31–60",IF(P22&lt;=90,"61–90","90+"))))</f>
        <v/>
      </c>
      <c r="R22" s="18" t="inlineStr">
        <is>
          <t>Insurance</t>
        </is>
      </c>
      <c r="S22" s="18" t="inlineStr">
        <is>
          <t>Denied — appeal</t>
        </is>
      </c>
      <c r="T22" s="18" t="inlineStr">
        <is>
          <t>COB not on file</t>
        </is>
      </c>
      <c r="U22" s="19" t="n">
        <v>46291</v>
      </c>
      <c r="V22" s="18" t="inlineStr">
        <is>
          <t>Haley</t>
        </is>
      </c>
      <c r="W22" s="18">
        <f>IF(AND(O22&gt;0,U22&lt;&gt;"",U22&lt;=TODAY()),"Yes","No")</f>
        <v/>
      </c>
      <c r="X22" s="18" t="inlineStr">
        <is>
          <t>Waiting primary EOB from patient</t>
        </is>
      </c>
    </row>
    <row r="23">
      <c r="A23" s="22" t="inlineStr">
        <is>
          <t>CL-10419</t>
        </is>
      </c>
      <c r="B23" s="22" t="inlineStr">
        <is>
          <t>P-1030</t>
        </is>
      </c>
      <c r="C23" s="22" t="inlineStr">
        <is>
          <t>Hale, M.</t>
        </is>
      </c>
      <c r="D23" s="22" t="inlineStr">
        <is>
          <t>Dr. Patel</t>
        </is>
      </c>
      <c r="E23" s="22" t="inlineStr">
        <is>
          <t>Main</t>
        </is>
      </c>
      <c r="F23" s="23" t="n">
        <v>46272</v>
      </c>
      <c r="G23" s="23" t="n">
        <v>46273</v>
      </c>
      <c r="H23" s="22" t="inlineStr">
        <is>
          <t>D0140</t>
        </is>
      </c>
      <c r="I23" s="22" t="inlineStr">
        <is>
          <t>Limited oral eval</t>
        </is>
      </c>
      <c r="J23" s="22" t="inlineStr">
        <is>
          <t>Aetna</t>
        </is>
      </c>
      <c r="K23" s="24" t="n">
        <v>82</v>
      </c>
      <c r="L23" s="24" t="n">
        <v>57</v>
      </c>
      <c r="M23" s="24" t="n">
        <v>25</v>
      </c>
      <c r="N23" s="24" t="n">
        <v>0</v>
      </c>
      <c r="O23" s="24">
        <f>MAX(0,K23-L23-M23-N23)</f>
        <v/>
      </c>
      <c r="P23" s="25">
        <f>IF(G23="","",TODAY()-G23)</f>
        <v/>
      </c>
      <c r="Q23" s="22">
        <f>IF(O23=0,"—",IF(P23&lt;=30,"0–30",IF(P23&lt;=60,"31–60",IF(P23&lt;=90,"61–90","90+"))))</f>
        <v/>
      </c>
      <c r="R23" s="22" t="inlineStr">
        <is>
          <t>Closed</t>
        </is>
      </c>
      <c r="S23" s="22" t="inlineStr">
        <is>
          <t>Paid in full</t>
        </is>
      </c>
      <c r="T23" s="22" t="inlineStr"/>
      <c r="U23" s="22" t="inlineStr"/>
      <c r="V23" s="22" t="inlineStr">
        <is>
          <t>Haley</t>
        </is>
      </c>
      <c r="W23" s="22">
        <f>IF(AND(O23&gt;0,U23&lt;&gt;"",U23&lt;=TODAY()),"Yes","No")</f>
        <v/>
      </c>
      <c r="X23" s="22" t="inlineStr"/>
    </row>
    <row r="24">
      <c r="A24" s="18" t="inlineStr">
        <is>
          <t>CL-10399</t>
        </is>
      </c>
      <c r="B24" s="18" t="inlineStr">
        <is>
          <t>P-1015</t>
        </is>
      </c>
      <c r="C24" s="18" t="inlineStr">
        <is>
          <t>Qureshi, A.</t>
        </is>
      </c>
      <c r="D24" s="18" t="inlineStr">
        <is>
          <t>Dr. Chen</t>
        </is>
      </c>
      <c r="E24" s="18" t="inlineStr">
        <is>
          <t>North</t>
        </is>
      </c>
      <c r="F24" s="19" t="n">
        <v>46236</v>
      </c>
      <c r="G24" s="19" t="n">
        <v>46239</v>
      </c>
      <c r="H24" s="18" t="inlineStr">
        <is>
          <t>D4342</t>
        </is>
      </c>
      <c r="I24" s="18" t="inlineStr">
        <is>
          <t>Perio scaling 1-3 teeth</t>
        </is>
      </c>
      <c r="J24" s="18" t="inlineStr">
        <is>
          <t>Delta Dental</t>
        </is>
      </c>
      <c r="K24" s="20" t="n">
        <v>198</v>
      </c>
      <c r="L24" s="20" t="n">
        <v>0</v>
      </c>
      <c r="M24" s="20" t="n">
        <v>0</v>
      </c>
      <c r="N24" s="20" t="n">
        <v>0</v>
      </c>
      <c r="O24" s="20">
        <f>MAX(0,K24-L24-M24-N24)</f>
        <v/>
      </c>
      <c r="P24" s="21">
        <f>IF(G24="","",TODAY()-G24)</f>
        <v/>
      </c>
      <c r="Q24" s="18">
        <f>IF(O24=0,"—",IF(P24&lt;=30,"0–30",IF(P24&lt;=60,"31–60",IF(P24&lt;=90,"61–90","90+"))))</f>
        <v/>
      </c>
      <c r="R24" s="18" t="inlineStr">
        <is>
          <t>Insurance</t>
        </is>
      </c>
      <c r="S24" s="18" t="inlineStr">
        <is>
          <t>Pending insurance</t>
        </is>
      </c>
      <c r="T24" s="18" t="inlineStr"/>
      <c r="U24" s="19" t="n">
        <v>46288</v>
      </c>
      <c r="V24" s="18" t="inlineStr">
        <is>
          <t>Haley</t>
        </is>
      </c>
      <c r="W24" s="18">
        <f>IF(AND(O24&gt;0,U24&lt;&gt;"",U24&lt;=TODAY()),"Yes","No")</f>
        <v/>
      </c>
      <c r="X24" s="18" t="inlineStr"/>
    </row>
    <row r="25">
      <c r="A25" s="22" t="inlineStr">
        <is>
          <t>CL-10368</t>
        </is>
      </c>
      <c r="B25" s="22" t="inlineStr">
        <is>
          <t>P-1026</t>
        </is>
      </c>
      <c r="C25" s="22" t="inlineStr">
        <is>
          <t>Reed, S.</t>
        </is>
      </c>
      <c r="D25" s="22" t="inlineStr">
        <is>
          <t>Dr. Ruiz</t>
        </is>
      </c>
      <c r="E25" s="22" t="inlineStr">
        <is>
          <t>Main</t>
        </is>
      </c>
      <c r="F25" s="23" t="n">
        <v>46175</v>
      </c>
      <c r="G25" s="23" t="n">
        <v>46178</v>
      </c>
      <c r="H25" s="22" t="inlineStr">
        <is>
          <t>D5110</t>
        </is>
      </c>
      <c r="I25" s="22" t="inlineStr">
        <is>
          <t>Complete denture — maxillary</t>
        </is>
      </c>
      <c r="J25" s="22" t="inlineStr">
        <is>
          <t>Medicaid</t>
        </is>
      </c>
      <c r="K25" s="24" t="n">
        <v>680</v>
      </c>
      <c r="L25" s="24" t="n">
        <v>420</v>
      </c>
      <c r="M25" s="24" t="n">
        <v>0</v>
      </c>
      <c r="N25" s="24" t="n">
        <v>0</v>
      </c>
      <c r="O25" s="24">
        <f>MAX(0,K25-L25-M25-N25)</f>
        <v/>
      </c>
      <c r="P25" s="25">
        <f>IF(G25="","",TODAY()-G25)</f>
        <v/>
      </c>
      <c r="Q25" s="22">
        <f>IF(O25=0,"—",IF(P25&lt;=30,"0–30",IF(P25&lt;=60,"31–60",IF(P25&lt;=90,"61–90","90+"))))</f>
        <v/>
      </c>
      <c r="R25" s="22" t="inlineStr">
        <is>
          <t>Patient</t>
        </is>
      </c>
      <c r="S25" s="22" t="inlineStr">
        <is>
          <t>Collections review</t>
        </is>
      </c>
      <c r="T25" s="22" t="inlineStr"/>
      <c r="U25" s="23" t="n">
        <v>46266</v>
      </c>
      <c r="V25" s="22" t="inlineStr">
        <is>
          <t>Office mgr</t>
        </is>
      </c>
      <c r="W25" s="22">
        <f>IF(AND(O25&gt;0,U25&lt;&gt;"",U25&lt;=TODAY()),"Yes","No")</f>
        <v/>
      </c>
      <c r="X25" s="22" t="inlineStr">
        <is>
          <t>Patient unreachable</t>
        </is>
      </c>
    </row>
    <row r="26">
      <c r="A26" s="18" t="inlineStr">
        <is>
          <t>CL-10431</t>
        </is>
      </c>
      <c r="B26" s="18" t="inlineStr">
        <is>
          <t>P-1002</t>
        </is>
      </c>
      <c r="C26" s="18" t="inlineStr">
        <is>
          <t>Vargas, I.</t>
        </is>
      </c>
      <c r="D26" s="18" t="inlineStr">
        <is>
          <t>Dr. Patel</t>
        </is>
      </c>
      <c r="E26" s="18" t="inlineStr">
        <is>
          <t>Main</t>
        </is>
      </c>
      <c r="F26" s="19" t="n">
        <v>46284</v>
      </c>
      <c r="G26" s="19" t="n">
        <v>46285</v>
      </c>
      <c r="H26" s="18" t="inlineStr">
        <is>
          <t>D0120</t>
        </is>
      </c>
      <c r="I26" s="18" t="inlineStr">
        <is>
          <t>Periodic oral eval</t>
        </is>
      </c>
      <c r="J26" s="18" t="inlineStr">
        <is>
          <t>Cigna</t>
        </is>
      </c>
      <c r="K26" s="20" t="n">
        <v>68</v>
      </c>
      <c r="L26" s="20" t="n">
        <v>0</v>
      </c>
      <c r="M26" s="20" t="n">
        <v>0</v>
      </c>
      <c r="N26" s="20" t="n">
        <v>0</v>
      </c>
      <c r="O26" s="20">
        <f>MAX(0,K26-L26-M26-N26)</f>
        <v/>
      </c>
      <c r="P26" s="21">
        <f>IF(G26="","",TODAY()-G26)</f>
        <v/>
      </c>
      <c r="Q26" s="18">
        <f>IF(O26=0,"—",IF(P26&lt;=30,"0–30",IF(P26&lt;=60,"31–60",IF(P26&lt;=90,"61–90","90+"))))</f>
        <v/>
      </c>
      <c r="R26" s="18" t="inlineStr">
        <is>
          <t>Insurance</t>
        </is>
      </c>
      <c r="S26" s="18" t="inlineStr">
        <is>
          <t>Pending insurance</t>
        </is>
      </c>
      <c r="T26" s="18" t="inlineStr"/>
      <c r="U26" s="19" t="n">
        <v>46303</v>
      </c>
      <c r="V26" s="18" t="inlineStr">
        <is>
          <t>Haley</t>
        </is>
      </c>
      <c r="W26" s="18">
        <f>IF(AND(O26&gt;0,U26&lt;&gt;"",U26&lt;=TODAY()),"Yes","No")</f>
        <v/>
      </c>
      <c r="X26" s="18" t="inlineStr"/>
    </row>
  </sheetData>
  <autoFilter ref="A1:X26"/>
  <conditionalFormatting sqref="Q2:Q500">
    <cfRule type="expression" priority="1" dxfId="0">
      <formula>Q2="90+"</formula>
    </cfRule>
    <cfRule type="expression" priority="2" dxfId="1">
      <formula>Q2="61–90"</formula>
    </cfRule>
  </conditionalFormatting>
  <conditionalFormatting sqref="W2:W500">
    <cfRule type="expression" priority="3" dxfId="0">
      <formula>W2="Yes"</formula>
    </cfRule>
  </conditionalFormatting>
  <dataValidations count="5">
    <dataValidation sqref="S2:S500" showDropDown="0" showInputMessage="0" showErrorMessage="0" allowBlank="1" type="list">
      <formula1>=Lists!$A$2:$A$9</formula1>
    </dataValidation>
    <dataValidation sqref="R2:R500" showDropDown="0" showInputMessage="0" showErrorMessage="0" allowBlank="1" type="list">
      <formula1>=Lists!$B$2:$B$5</formula1>
    </dataValidation>
    <dataValidation sqref="J2:J500" showDropDown="0" showInputMessage="0" showErrorMessage="0" allowBlank="1" type="list">
      <formula1>=Lists!$C$2:$C$8</formula1>
    </dataValidation>
    <dataValidation sqref="E2:E500" showDropDown="0" showInputMessage="0" showErrorMessage="0" allowBlank="1" type="list">
      <formula1>=Lists!$D$2:$D$3</formula1>
    </dataValidation>
    <dataValidation sqref="V2:V500" showDropDown="0" showInputMessage="0" showErrorMessage="0" allowBlank="1" type="list">
      <formula1>=Lists!$E$2:$E$4</formula1>
    </dataValidation>
  </dataValidations>
  <pageMargins left="0.75" right="0.75" top="1" bottom="1" header="0.5" footer="0.5"/>
  <pageSetup orientation="landscape" fitToHeight="0" fitToWidth="1"/>
  <headerFooter>
    <oddHeader>&amp;LDental A/R Ledger  ·  fictional sample — replace with your PMS export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2" customWidth="1" min="4" max="4"/>
    <col width="14" customWidth="1" min="5" max="5"/>
  </cols>
  <sheetData>
    <row r="1" ht="28" customHeight="1">
      <c r="A1" s="10" t="inlineStr">
        <is>
          <t>Status</t>
        </is>
      </c>
      <c r="B1" s="10" t="inlineStr">
        <is>
          <t>Balance type</t>
        </is>
      </c>
      <c r="C1" s="10" t="inlineStr">
        <is>
          <t>Payer</t>
        </is>
      </c>
      <c r="D1" s="10" t="inlineStr">
        <is>
          <t>Location</t>
        </is>
      </c>
      <c r="E1" s="10" t="inlineStr">
        <is>
          <t>Owner</t>
        </is>
      </c>
    </row>
    <row r="2">
      <c r="A2" t="inlineStr">
        <is>
          <t>Pending insurance</t>
        </is>
      </c>
      <c r="B2" t="inlineStr">
        <is>
          <t>Insurance</t>
        </is>
      </c>
      <c r="C2" t="inlineStr">
        <is>
          <t>Delta Dental</t>
        </is>
      </c>
      <c r="D2" t="inlineStr">
        <is>
          <t>Main</t>
        </is>
      </c>
      <c r="E2" t="inlineStr">
        <is>
          <t>Haley</t>
        </is>
      </c>
    </row>
    <row r="3">
      <c r="A3" t="inlineStr">
        <is>
          <t>Denied — correct/resubmit</t>
        </is>
      </c>
      <c r="B3" t="inlineStr">
        <is>
          <t>Patient</t>
        </is>
      </c>
      <c r="C3" t="inlineStr">
        <is>
          <t>MetLife</t>
        </is>
      </c>
      <c r="D3" t="inlineStr">
        <is>
          <t>North</t>
        </is>
      </c>
      <c r="E3" t="inlineStr">
        <is>
          <t>Front desk</t>
        </is>
      </c>
    </row>
    <row r="4">
      <c r="A4" t="inlineStr">
        <is>
          <t>Denied — appeal</t>
        </is>
      </c>
      <c r="B4" t="inlineStr">
        <is>
          <t>Split</t>
        </is>
      </c>
      <c r="C4" t="inlineStr">
        <is>
          <t>Aetna</t>
        </is>
      </c>
      <c r="E4" t="inlineStr">
        <is>
          <t>Office mgr</t>
        </is>
      </c>
    </row>
    <row r="5">
      <c r="A5" t="inlineStr">
        <is>
          <t>Patient billed</t>
        </is>
      </c>
      <c r="B5" t="inlineStr">
        <is>
          <t>Closed</t>
        </is>
      </c>
      <c r="C5" t="inlineStr">
        <is>
          <t>Cigna</t>
        </is>
      </c>
    </row>
    <row r="6">
      <c r="A6" t="inlineStr">
        <is>
          <t>Payment plan</t>
        </is>
      </c>
      <c r="C6" t="inlineStr">
        <is>
          <t>Guardian</t>
        </is>
      </c>
    </row>
    <row r="7">
      <c r="A7" t="inlineStr">
        <is>
          <t>Collections review</t>
        </is>
      </c>
      <c r="C7" t="inlineStr">
        <is>
          <t>Medicaid</t>
        </is>
      </c>
    </row>
    <row r="8">
      <c r="A8" t="inlineStr">
        <is>
          <t>Paid in full</t>
        </is>
      </c>
      <c r="C8" t="inlineStr">
        <is>
          <t>Self-pay</t>
        </is>
      </c>
    </row>
    <row r="9">
      <c r="A9" t="inlineStr">
        <is>
          <t>Adjusted / written 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8860B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8" customWidth="1" min="5" max="5"/>
    <col width="16" customWidth="1" min="6" max="6"/>
    <col width="12" customWidth="1" min="7" max="7"/>
    <col width="36" customWidth="1" min="8" max="8"/>
  </cols>
  <sheetData>
    <row r="1">
      <c r="A1" s="26" t="inlineStr">
        <is>
          <t>FOLLOW-UP QUEUE</t>
        </is>
      </c>
    </row>
    <row r="2">
      <c r="A2" s="6" t="inlineStr">
        <is>
          <t>Filter the ledger where Needs follow-up = Yes, or use this working list. Add rows as you work the day.</t>
        </is>
      </c>
    </row>
    <row r="4" ht="28" customHeight="1">
      <c r="A4" s="10" t="inlineStr">
        <is>
          <t>Claim ID</t>
        </is>
      </c>
      <c r="B4" s="10" t="inlineStr">
        <is>
          <t>Patient ID</t>
        </is>
      </c>
      <c r="C4" s="10" t="inlineStr">
        <is>
          <t>Payer</t>
        </is>
      </c>
      <c r="D4" s="10" t="inlineStr">
        <is>
          <t>Balance</t>
        </is>
      </c>
      <c r="E4" s="10" t="inlineStr">
        <is>
          <t>Status</t>
        </is>
      </c>
      <c r="F4" s="10" t="inlineStr">
        <is>
          <t>Next follow-up</t>
        </is>
      </c>
      <c r="G4" s="10" t="inlineStr">
        <is>
          <t>Owner</t>
        </is>
      </c>
      <c r="H4" s="10" t="inlineStr">
        <is>
          <t>Action today</t>
        </is>
      </c>
    </row>
    <row r="5">
      <c r="A5">
        <f>IF('AR Ledger'!W2="Yes",'AR Ledger'!A2,"")</f>
        <v/>
      </c>
      <c r="B5">
        <f>IF(A5="","",'AR Ledger'!B2)</f>
        <v/>
      </c>
      <c r="C5">
        <f>IF(A5="","",'AR Ledger'!J2)</f>
        <v/>
      </c>
      <c r="D5" s="27">
        <f>IF(A5="","",'AR Ledger'!O2)</f>
        <v/>
      </c>
      <c r="E5">
        <f>IF(A5="","",'AR Ledger'!S2)</f>
        <v/>
      </c>
      <c r="F5" s="28">
        <f>IF(A5="","",'AR Ledger'!U2)</f>
        <v/>
      </c>
      <c r="G5">
        <f>IF(A5="","",'AR Ledger'!V2)</f>
        <v/>
      </c>
      <c r="H5" t="inlineStr"/>
    </row>
    <row r="6">
      <c r="A6">
        <f>IF('AR Ledger'!W3="Yes",'AR Ledger'!A3,"")</f>
        <v/>
      </c>
      <c r="B6">
        <f>IF(A6="","",'AR Ledger'!B3)</f>
        <v/>
      </c>
      <c r="C6">
        <f>IF(A6="","",'AR Ledger'!J3)</f>
        <v/>
      </c>
      <c r="D6" s="27">
        <f>IF(A6="","",'AR Ledger'!O3)</f>
        <v/>
      </c>
      <c r="E6">
        <f>IF(A6="","",'AR Ledger'!S3)</f>
        <v/>
      </c>
      <c r="F6" s="28">
        <f>IF(A6="","",'AR Ledger'!U3)</f>
        <v/>
      </c>
      <c r="G6">
        <f>IF(A6="","",'AR Ledger'!V3)</f>
        <v/>
      </c>
      <c r="H6" t="inlineStr"/>
    </row>
    <row r="7">
      <c r="A7">
        <f>IF('AR Ledger'!W4="Yes",'AR Ledger'!A4,"")</f>
        <v/>
      </c>
      <c r="B7">
        <f>IF(A7="","",'AR Ledger'!B4)</f>
        <v/>
      </c>
      <c r="C7">
        <f>IF(A7="","",'AR Ledger'!J4)</f>
        <v/>
      </c>
      <c r="D7" s="27">
        <f>IF(A7="","",'AR Ledger'!O4)</f>
        <v/>
      </c>
      <c r="E7">
        <f>IF(A7="","",'AR Ledger'!S4)</f>
        <v/>
      </c>
      <c r="F7" s="28">
        <f>IF(A7="","",'AR Ledger'!U4)</f>
        <v/>
      </c>
      <c r="G7">
        <f>IF(A7="","",'AR Ledger'!V4)</f>
        <v/>
      </c>
      <c r="H7" t="inlineStr"/>
    </row>
    <row r="8">
      <c r="A8">
        <f>IF('AR Ledger'!W5="Yes",'AR Ledger'!A5,"")</f>
        <v/>
      </c>
      <c r="B8">
        <f>IF(A8="","",'AR Ledger'!B5)</f>
        <v/>
      </c>
      <c r="C8">
        <f>IF(A8="","",'AR Ledger'!J5)</f>
        <v/>
      </c>
      <c r="D8" s="27">
        <f>IF(A8="","",'AR Ledger'!O5)</f>
        <v/>
      </c>
      <c r="E8">
        <f>IF(A8="","",'AR Ledger'!S5)</f>
        <v/>
      </c>
      <c r="F8" s="28">
        <f>IF(A8="","",'AR Ledger'!U5)</f>
        <v/>
      </c>
      <c r="G8">
        <f>IF(A8="","",'AR Ledger'!V5)</f>
        <v/>
      </c>
      <c r="H8" t="inlineStr"/>
    </row>
    <row r="9">
      <c r="A9">
        <f>IF('AR Ledger'!W6="Yes",'AR Ledger'!A6,"")</f>
        <v/>
      </c>
      <c r="B9">
        <f>IF(A9="","",'AR Ledger'!B6)</f>
        <v/>
      </c>
      <c r="C9">
        <f>IF(A9="","",'AR Ledger'!J6)</f>
        <v/>
      </c>
      <c r="D9" s="27">
        <f>IF(A9="","",'AR Ledger'!O6)</f>
        <v/>
      </c>
      <c r="E9">
        <f>IF(A9="","",'AR Ledger'!S6)</f>
        <v/>
      </c>
      <c r="F9" s="28">
        <f>IF(A9="","",'AR Ledger'!U6)</f>
        <v/>
      </c>
      <c r="G9">
        <f>IF(A9="","",'AR Ledger'!V6)</f>
        <v/>
      </c>
      <c r="H9" t="inlineStr"/>
    </row>
    <row r="10">
      <c r="A10">
        <f>IF('AR Ledger'!W7="Yes",'AR Ledger'!A7,"")</f>
        <v/>
      </c>
      <c r="B10">
        <f>IF(A10="","",'AR Ledger'!B7)</f>
        <v/>
      </c>
      <c r="C10">
        <f>IF(A10="","",'AR Ledger'!J7)</f>
        <v/>
      </c>
      <c r="D10" s="27">
        <f>IF(A10="","",'AR Ledger'!O7)</f>
        <v/>
      </c>
      <c r="E10">
        <f>IF(A10="","",'AR Ledger'!S7)</f>
        <v/>
      </c>
      <c r="F10" s="28">
        <f>IF(A10="","",'AR Ledger'!U7)</f>
        <v/>
      </c>
      <c r="G10">
        <f>IF(A10="","",'AR Ledger'!V7)</f>
        <v/>
      </c>
      <c r="H10" t="inlineStr"/>
    </row>
    <row r="11">
      <c r="A11">
        <f>IF('AR Ledger'!W8="Yes",'AR Ledger'!A8,"")</f>
        <v/>
      </c>
      <c r="B11">
        <f>IF(A11="","",'AR Ledger'!B8)</f>
        <v/>
      </c>
      <c r="C11">
        <f>IF(A11="","",'AR Ledger'!J8)</f>
        <v/>
      </c>
      <c r="D11" s="27">
        <f>IF(A11="","",'AR Ledger'!O8)</f>
        <v/>
      </c>
      <c r="E11">
        <f>IF(A11="","",'AR Ledger'!S8)</f>
        <v/>
      </c>
      <c r="F11" s="28">
        <f>IF(A11="","",'AR Ledger'!U8)</f>
        <v/>
      </c>
      <c r="G11">
        <f>IF(A11="","",'AR Ledger'!V8)</f>
        <v/>
      </c>
      <c r="H11" t="inlineStr"/>
    </row>
    <row r="12">
      <c r="A12">
        <f>IF('AR Ledger'!W9="Yes",'AR Ledger'!A9,"")</f>
        <v/>
      </c>
      <c r="B12">
        <f>IF(A12="","",'AR Ledger'!B9)</f>
        <v/>
      </c>
      <c r="C12">
        <f>IF(A12="","",'AR Ledger'!J9)</f>
        <v/>
      </c>
      <c r="D12" s="27">
        <f>IF(A12="","",'AR Ledger'!O9)</f>
        <v/>
      </c>
      <c r="E12">
        <f>IF(A12="","",'AR Ledger'!S9)</f>
        <v/>
      </c>
      <c r="F12" s="28">
        <f>IF(A12="","",'AR Ledger'!U9)</f>
        <v/>
      </c>
      <c r="G12">
        <f>IF(A12="","",'AR Ledger'!V9)</f>
        <v/>
      </c>
      <c r="H12" t="inlineStr"/>
    </row>
    <row r="13">
      <c r="A13">
        <f>IF('AR Ledger'!W10="Yes",'AR Ledger'!A10,"")</f>
        <v/>
      </c>
      <c r="B13">
        <f>IF(A13="","",'AR Ledger'!B10)</f>
        <v/>
      </c>
      <c r="C13">
        <f>IF(A13="","",'AR Ledger'!J10)</f>
        <v/>
      </c>
      <c r="D13" s="27">
        <f>IF(A13="","",'AR Ledger'!O10)</f>
        <v/>
      </c>
      <c r="E13">
        <f>IF(A13="","",'AR Ledger'!S10)</f>
        <v/>
      </c>
      <c r="F13" s="28">
        <f>IF(A13="","",'AR Ledger'!U10)</f>
        <v/>
      </c>
      <c r="G13">
        <f>IF(A13="","",'AR Ledger'!V10)</f>
        <v/>
      </c>
      <c r="H13" t="inlineStr"/>
    </row>
    <row r="14">
      <c r="A14">
        <f>IF('AR Ledger'!W11="Yes",'AR Ledger'!A11,"")</f>
        <v/>
      </c>
      <c r="B14">
        <f>IF(A14="","",'AR Ledger'!B11)</f>
        <v/>
      </c>
      <c r="C14">
        <f>IF(A14="","",'AR Ledger'!J11)</f>
        <v/>
      </c>
      <c r="D14" s="27">
        <f>IF(A14="","",'AR Ledger'!O11)</f>
        <v/>
      </c>
      <c r="E14">
        <f>IF(A14="","",'AR Ledger'!S11)</f>
        <v/>
      </c>
      <c r="F14" s="28">
        <f>IF(A14="","",'AR Ledger'!U11)</f>
        <v/>
      </c>
      <c r="G14">
        <f>IF(A14="","",'AR Ledger'!V11)</f>
        <v/>
      </c>
      <c r="H14" t="inlineStr"/>
    </row>
    <row r="15">
      <c r="A15">
        <f>IF('AR Ledger'!W12="Yes",'AR Ledger'!A12,"")</f>
        <v/>
      </c>
      <c r="B15">
        <f>IF(A15="","",'AR Ledger'!B12)</f>
        <v/>
      </c>
      <c r="C15">
        <f>IF(A15="","",'AR Ledger'!J12)</f>
        <v/>
      </c>
      <c r="D15" s="27">
        <f>IF(A15="","",'AR Ledger'!O12)</f>
        <v/>
      </c>
      <c r="E15">
        <f>IF(A15="","",'AR Ledger'!S12)</f>
        <v/>
      </c>
      <c r="F15" s="28">
        <f>IF(A15="","",'AR Ledger'!U12)</f>
        <v/>
      </c>
      <c r="G15">
        <f>IF(A15="","",'AR Ledger'!V12)</f>
        <v/>
      </c>
      <c r="H15" t="inlineStr"/>
    </row>
    <row r="16">
      <c r="A16">
        <f>IF('AR Ledger'!W13="Yes",'AR Ledger'!A13,"")</f>
        <v/>
      </c>
      <c r="B16">
        <f>IF(A16="","",'AR Ledger'!B13)</f>
        <v/>
      </c>
      <c r="C16">
        <f>IF(A16="","",'AR Ledger'!J13)</f>
        <v/>
      </c>
      <c r="D16" s="27">
        <f>IF(A16="","",'AR Ledger'!O13)</f>
        <v/>
      </c>
      <c r="E16">
        <f>IF(A16="","",'AR Ledger'!S13)</f>
        <v/>
      </c>
      <c r="F16" s="28">
        <f>IF(A16="","",'AR Ledger'!U13)</f>
        <v/>
      </c>
      <c r="G16">
        <f>IF(A16="","",'AR Ledger'!V13)</f>
        <v/>
      </c>
      <c r="H16" t="inlineStr"/>
    </row>
    <row r="17">
      <c r="A17">
        <f>IF('AR Ledger'!W14="Yes",'AR Ledger'!A14,"")</f>
        <v/>
      </c>
      <c r="B17">
        <f>IF(A17="","",'AR Ledger'!B14)</f>
        <v/>
      </c>
      <c r="C17">
        <f>IF(A17="","",'AR Ledger'!J14)</f>
        <v/>
      </c>
      <c r="D17" s="27">
        <f>IF(A17="","",'AR Ledger'!O14)</f>
        <v/>
      </c>
      <c r="E17">
        <f>IF(A17="","",'AR Ledger'!S14)</f>
        <v/>
      </c>
      <c r="F17" s="28">
        <f>IF(A17="","",'AR Ledger'!U14)</f>
        <v/>
      </c>
      <c r="G17">
        <f>IF(A17="","",'AR Ledger'!V14)</f>
        <v/>
      </c>
      <c r="H17" t="inlineStr"/>
    </row>
    <row r="18">
      <c r="A18">
        <f>IF('AR Ledger'!W15="Yes",'AR Ledger'!A15,"")</f>
        <v/>
      </c>
      <c r="B18">
        <f>IF(A18="","",'AR Ledger'!B15)</f>
        <v/>
      </c>
      <c r="C18">
        <f>IF(A18="","",'AR Ledger'!J15)</f>
        <v/>
      </c>
      <c r="D18" s="27">
        <f>IF(A18="","",'AR Ledger'!O15)</f>
        <v/>
      </c>
      <c r="E18">
        <f>IF(A18="","",'AR Ledger'!S15)</f>
        <v/>
      </c>
      <c r="F18" s="28">
        <f>IF(A18="","",'AR Ledger'!U15)</f>
        <v/>
      </c>
      <c r="G18">
        <f>IF(A18="","",'AR Ledger'!V15)</f>
        <v/>
      </c>
      <c r="H18" t="inlineStr"/>
    </row>
    <row r="19">
      <c r="A19">
        <f>IF('AR Ledger'!W16="Yes",'AR Ledger'!A16,"")</f>
        <v/>
      </c>
      <c r="B19">
        <f>IF(A19="","",'AR Ledger'!B16)</f>
        <v/>
      </c>
      <c r="C19">
        <f>IF(A19="","",'AR Ledger'!J16)</f>
        <v/>
      </c>
      <c r="D19" s="27">
        <f>IF(A19="","",'AR Ledger'!O16)</f>
        <v/>
      </c>
      <c r="E19">
        <f>IF(A19="","",'AR Ledger'!S16)</f>
        <v/>
      </c>
      <c r="F19" s="28">
        <f>IF(A19="","",'AR Ledger'!U16)</f>
        <v/>
      </c>
      <c r="G19">
        <f>IF(A19="","",'AR Ledger'!V16)</f>
        <v/>
      </c>
      <c r="H19" t="inlineStr"/>
    </row>
    <row r="20">
      <c r="A20">
        <f>IF('AR Ledger'!W17="Yes",'AR Ledger'!A17,"")</f>
        <v/>
      </c>
      <c r="B20">
        <f>IF(A20="","",'AR Ledger'!B17)</f>
        <v/>
      </c>
      <c r="C20">
        <f>IF(A20="","",'AR Ledger'!J17)</f>
        <v/>
      </c>
      <c r="D20" s="27">
        <f>IF(A20="","",'AR Ledger'!O17)</f>
        <v/>
      </c>
      <c r="E20">
        <f>IF(A20="","",'AR Ledger'!S17)</f>
        <v/>
      </c>
      <c r="F20" s="28">
        <f>IF(A20="","",'AR Ledger'!U17)</f>
        <v/>
      </c>
      <c r="G20">
        <f>IF(A20="","",'AR Ledger'!V17)</f>
        <v/>
      </c>
      <c r="H20" t="inlineStr"/>
    </row>
    <row r="21">
      <c r="A21">
        <f>IF('AR Ledger'!W18="Yes",'AR Ledger'!A18,"")</f>
        <v/>
      </c>
      <c r="B21">
        <f>IF(A21="","",'AR Ledger'!B18)</f>
        <v/>
      </c>
      <c r="C21">
        <f>IF(A21="","",'AR Ledger'!J18)</f>
        <v/>
      </c>
      <c r="D21" s="27">
        <f>IF(A21="","",'AR Ledger'!O18)</f>
        <v/>
      </c>
      <c r="E21">
        <f>IF(A21="","",'AR Ledger'!S18)</f>
        <v/>
      </c>
      <c r="F21" s="28">
        <f>IF(A21="","",'AR Ledger'!U18)</f>
        <v/>
      </c>
      <c r="G21">
        <f>IF(A21="","",'AR Ledger'!V18)</f>
        <v/>
      </c>
      <c r="H21" t="inlineStr"/>
    </row>
    <row r="22">
      <c r="A22">
        <f>IF('AR Ledger'!W19="Yes",'AR Ledger'!A19,"")</f>
        <v/>
      </c>
      <c r="B22">
        <f>IF(A22="","",'AR Ledger'!B19)</f>
        <v/>
      </c>
      <c r="C22">
        <f>IF(A22="","",'AR Ledger'!J19)</f>
        <v/>
      </c>
      <c r="D22" s="27">
        <f>IF(A22="","",'AR Ledger'!O19)</f>
        <v/>
      </c>
      <c r="E22">
        <f>IF(A22="","",'AR Ledger'!S19)</f>
        <v/>
      </c>
      <c r="F22" s="28">
        <f>IF(A22="","",'AR Ledger'!U19)</f>
        <v/>
      </c>
      <c r="G22">
        <f>IF(A22="","",'AR Ledger'!V19)</f>
        <v/>
      </c>
      <c r="H22" t="inlineStr"/>
    </row>
    <row r="23">
      <c r="A23">
        <f>IF('AR Ledger'!W20="Yes",'AR Ledger'!A20,"")</f>
        <v/>
      </c>
      <c r="B23">
        <f>IF(A23="","",'AR Ledger'!B20)</f>
        <v/>
      </c>
      <c r="C23">
        <f>IF(A23="","",'AR Ledger'!J20)</f>
        <v/>
      </c>
      <c r="D23" s="27">
        <f>IF(A23="","",'AR Ledger'!O20)</f>
        <v/>
      </c>
      <c r="E23">
        <f>IF(A23="","",'AR Ledger'!S20)</f>
        <v/>
      </c>
      <c r="F23" s="28">
        <f>IF(A23="","",'AR Ledger'!U20)</f>
        <v/>
      </c>
      <c r="G23">
        <f>IF(A23="","",'AR Ledger'!V20)</f>
        <v/>
      </c>
      <c r="H23" t="inlineStr"/>
    </row>
    <row r="24">
      <c r="A24">
        <f>IF('AR Ledger'!W21="Yes",'AR Ledger'!A21,"")</f>
        <v/>
      </c>
      <c r="B24">
        <f>IF(A24="","",'AR Ledger'!B21)</f>
        <v/>
      </c>
      <c r="C24">
        <f>IF(A24="","",'AR Ledger'!J21)</f>
        <v/>
      </c>
      <c r="D24" s="27">
        <f>IF(A24="","",'AR Ledger'!O21)</f>
        <v/>
      </c>
      <c r="E24">
        <f>IF(A24="","",'AR Ledger'!S21)</f>
        <v/>
      </c>
      <c r="F24" s="28">
        <f>IF(A24="","",'AR Ledger'!U21)</f>
        <v/>
      </c>
      <c r="G24">
        <f>IF(A24="","",'AR Ledger'!V21)</f>
        <v/>
      </c>
      <c r="H24" t="inlineStr"/>
    </row>
    <row r="25">
      <c r="A25">
        <f>IF('AR Ledger'!W22="Yes",'AR Ledger'!A22,"")</f>
        <v/>
      </c>
      <c r="B25">
        <f>IF(A25="","",'AR Ledger'!B22)</f>
        <v/>
      </c>
      <c r="C25">
        <f>IF(A25="","",'AR Ledger'!J22)</f>
        <v/>
      </c>
      <c r="D25" s="27">
        <f>IF(A25="","",'AR Ledger'!O22)</f>
        <v/>
      </c>
      <c r="E25">
        <f>IF(A25="","",'AR Ledger'!S22)</f>
        <v/>
      </c>
      <c r="F25" s="28">
        <f>IF(A25="","",'AR Ledger'!U22)</f>
        <v/>
      </c>
      <c r="G25">
        <f>IF(A25="","",'AR Ledger'!V22)</f>
        <v/>
      </c>
      <c r="H25" t="inlineStr"/>
    </row>
    <row r="26">
      <c r="A26">
        <f>IF('AR Ledger'!W23="Yes",'AR Ledger'!A23,"")</f>
        <v/>
      </c>
      <c r="B26">
        <f>IF(A26="","",'AR Ledger'!B23)</f>
        <v/>
      </c>
      <c r="C26">
        <f>IF(A26="","",'AR Ledger'!J23)</f>
        <v/>
      </c>
      <c r="D26" s="27">
        <f>IF(A26="","",'AR Ledger'!O23)</f>
        <v/>
      </c>
      <c r="E26">
        <f>IF(A26="","",'AR Ledger'!S23)</f>
        <v/>
      </c>
      <c r="F26" s="28">
        <f>IF(A26="","",'AR Ledger'!U23)</f>
        <v/>
      </c>
      <c r="G26">
        <f>IF(A26="","",'AR Ledger'!V23)</f>
        <v/>
      </c>
      <c r="H26" t="inlineStr"/>
    </row>
    <row r="27">
      <c r="A27">
        <f>IF('AR Ledger'!W24="Yes",'AR Ledger'!A24,"")</f>
        <v/>
      </c>
      <c r="B27">
        <f>IF(A27="","",'AR Ledger'!B24)</f>
        <v/>
      </c>
      <c r="C27">
        <f>IF(A27="","",'AR Ledger'!J24)</f>
        <v/>
      </c>
      <c r="D27" s="27">
        <f>IF(A27="","",'AR Ledger'!O24)</f>
        <v/>
      </c>
      <c r="E27">
        <f>IF(A27="","",'AR Ledger'!S24)</f>
        <v/>
      </c>
      <c r="F27" s="28">
        <f>IF(A27="","",'AR Ledger'!U24)</f>
        <v/>
      </c>
      <c r="G27">
        <f>IF(A27="","",'AR Ledger'!V24)</f>
        <v/>
      </c>
      <c r="H27" t="inlineStr"/>
    </row>
    <row r="28">
      <c r="A28">
        <f>IF('AR Ledger'!W25="Yes",'AR Ledger'!A25,"")</f>
        <v/>
      </c>
      <c r="B28">
        <f>IF(A28="","",'AR Ledger'!B25)</f>
        <v/>
      </c>
      <c r="C28">
        <f>IF(A28="","",'AR Ledger'!J25)</f>
        <v/>
      </c>
      <c r="D28" s="27">
        <f>IF(A28="","",'AR Ledger'!O25)</f>
        <v/>
      </c>
      <c r="E28">
        <f>IF(A28="","",'AR Ledger'!S25)</f>
        <v/>
      </c>
      <c r="F28" s="28">
        <f>IF(A28="","",'AR Ledger'!U25)</f>
        <v/>
      </c>
      <c r="G28">
        <f>IF(A28="","",'AR Ledger'!V25)</f>
        <v/>
      </c>
      <c r="H28" t="inlineStr"/>
    </row>
    <row r="29">
      <c r="A29">
        <f>IF('AR Ledger'!W26="Yes",'AR Ledger'!A26,"")</f>
        <v/>
      </c>
      <c r="B29">
        <f>IF(A29="","",'AR Ledger'!B26)</f>
        <v/>
      </c>
      <c r="C29">
        <f>IF(A29="","",'AR Ledger'!J26)</f>
        <v/>
      </c>
      <c r="D29" s="27">
        <f>IF(A29="","",'AR Ledger'!O26)</f>
        <v/>
      </c>
      <c r="E29">
        <f>IF(A29="","",'AR Ledger'!S26)</f>
        <v/>
      </c>
      <c r="F29" s="28">
        <f>IF(A29="","",'AR Ledger'!U26)</f>
        <v/>
      </c>
      <c r="G29">
        <f>IF(A29="","",'AR Ledger'!V26)</f>
        <v/>
      </c>
      <c r="H29" t="inlineStr"/>
    </row>
  </sheetData>
  <autoFilter ref="A4:H2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2026-09-22T16:22:01Z</dcterms:created>
  <dcterms:modified xmlns:dcterms="http://purl.org/dc/terms/" xmlns:xsi="http://www.w3.org/2001/XMLSchema-instance" xsi:type="dcterms:W3CDTF">2026-09-22T16:22:01Z</dcterms:modified>
</cp:coreProperties>
</file>